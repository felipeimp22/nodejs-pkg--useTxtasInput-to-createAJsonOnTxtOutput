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drawings/drawing9.xml" ContentType="application/vnd.openxmlformats-officedocument.drawing+xml"/>
  <Override PartName="/xl/ctrlProps/ctrlProp13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0.xml" ContentType="application/vnd.openxmlformats-officedocument.drawing+xml"/>
  <Override PartName="/xl/ctrlProps/ctrlProp14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felipe.imperio.CSPDOMAIN\Desktop\programing\script\files\"/>
    </mc:Choice>
  </mc:AlternateContent>
  <xr:revisionPtr revIDLastSave="0" documentId="13_ncr:1_{5405D9D5-C378-47C7-BDE2-BF47B3CB4CC6}" xr6:coauthVersionLast="47" xr6:coauthVersionMax="47" xr10:uidLastSave="{00000000-0000-0000-0000-000000000000}"/>
  <bookViews>
    <workbookView xWindow="-120" yWindow="-120" windowWidth="20730" windowHeight="11160" tabRatio="759" firstSheet="13" activeTab="15" xr2:uid="{32ADE32F-1B90-4729-9C2A-87841C2338D3}"/>
  </bookViews>
  <sheets>
    <sheet name="Planilha1" sheetId="1" r:id="rId1"/>
    <sheet name="Imagens Produtos" sheetId="31" r:id="rId2"/>
    <sheet name="VITRINE APARELHOS" sheetId="26" r:id="rId3"/>
    <sheet name="VITRINE APARELHOS - Json" sheetId="27" r:id="rId4"/>
    <sheet name="NEW OFFER EXC" sheetId="18" r:id="rId5"/>
    <sheet name="JSON" sheetId="32" r:id="rId6"/>
    <sheet name="NEW OFFER EXC - Json" sheetId="13" r:id="rId7"/>
    <sheet name="OFERTAS EXCLUSIVAS" sheetId="14" state="hidden" r:id="rId8"/>
    <sheet name="OFERTAS EXCLUSIVAS - Json" sheetId="15" state="hidden" r:id="rId9"/>
    <sheet name="TABELA APARELHOS" sheetId="11" state="hidden" r:id="rId10"/>
    <sheet name="NOVA TABELA APARELHOS" sheetId="21" r:id="rId11"/>
    <sheet name="APARELHOS - Json" sheetId="10" state="hidden" r:id="rId12"/>
    <sheet name="NOVOS APARELHOS - Json" sheetId="22" r:id="rId13"/>
    <sheet name="ACESSORIOS" sheetId="28" r:id="rId14"/>
    <sheet name="ACESSORIOS - Json" sheetId="29" r:id="rId15"/>
    <sheet name="BANNER DECK" sheetId="19" r:id="rId16"/>
    <sheet name="BANNER DECK - Json" sheetId="8" r:id="rId17"/>
    <sheet name="DEMAIS OFERTAS" sheetId="12" r:id="rId18"/>
    <sheet name="BANNER HOME" sheetId="7" r:id="rId19"/>
    <sheet name="CLARO EMPRESAS" sheetId="20" r:id="rId20"/>
    <sheet name="MUDE SEU PLANO" sheetId="6" r:id="rId21"/>
    <sheet name="ORDENATION" sheetId="23" r:id="rId22"/>
    <sheet name="SPLASH" sheetId="24" r:id="rId23"/>
    <sheet name="DOWNGRADE" sheetId="30" r:id="rId24"/>
    <sheet name="Rascunhos" sheetId="25" r:id="rId25"/>
  </sheets>
  <definedNames>
    <definedName name="_xlnm._FilterDatabase" localSheetId="15" hidden="1">'BANNER DECK'!$B$8:$R$17</definedName>
    <definedName name="_xlnm._FilterDatabase" localSheetId="16" hidden="1">'BANNER DECK - Json'!$A$2:$E$32</definedName>
    <definedName name="_xlnm._FilterDatabase" localSheetId="18" hidden="1">'BANNER HOME'!$A$7:$M$25</definedName>
    <definedName name="_xlnm._FilterDatabase" localSheetId="4" hidden="1">'NEW OFFER EXC'!$A$7:$V$45</definedName>
    <definedName name="_xlnm._FilterDatabase" localSheetId="7" hidden="1">'OFERTAS EXCLUSIVAS'!$A$7:$Q$21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" i="19" l="1"/>
  <c r="B10" i="19"/>
  <c r="B11" i="19"/>
  <c r="B12" i="19"/>
  <c r="B13" i="19"/>
  <c r="B14" i="19"/>
  <c r="B15" i="19"/>
  <c r="B16" i="19"/>
  <c r="B17" i="19"/>
  <c r="B18" i="19"/>
  <c r="B19" i="19"/>
  <c r="B20" i="19"/>
  <c r="B21" i="19"/>
  <c r="B22" i="19"/>
  <c r="B23" i="19"/>
  <c r="B24" i="19"/>
  <c r="B25" i="19"/>
  <c r="B26" i="19"/>
  <c r="B27" i="19"/>
  <c r="B28" i="19"/>
  <c r="B29" i="19"/>
  <c r="I45" i="21"/>
  <c r="H21" i="29" s="1"/>
  <c r="I44" i="21"/>
  <c r="H20" i="29" s="1"/>
  <c r="B27" i="27"/>
  <c r="X18" i="26"/>
  <c r="X19" i="26"/>
  <c r="X20" i="26"/>
  <c r="X21" i="26"/>
  <c r="X22" i="26"/>
  <c r="X23" i="26"/>
  <c r="X24" i="26"/>
  <c r="X17" i="26"/>
  <c r="H7" i="27"/>
  <c r="B38" i="19"/>
  <c r="B39" i="19"/>
  <c r="B40" i="19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8" i="7"/>
  <c r="H5" i="6"/>
  <c r="D30" i="8"/>
  <c r="H15" i="8" s="1"/>
  <c r="D29" i="8"/>
  <c r="H14" i="8" s="1"/>
  <c r="N5" i="12"/>
  <c r="W22" i="12" s="1"/>
  <c r="B16" i="29"/>
  <c r="H16" i="29" s="1"/>
  <c r="B5" i="29"/>
  <c r="A37" i="29" s="1"/>
  <c r="D13" i="8"/>
  <c r="B16" i="22"/>
  <c r="E16" i="22" s="1"/>
  <c r="E5" i="29"/>
  <c r="A51" i="29" s="1"/>
  <c r="G112" i="30"/>
  <c r="D12" i="8"/>
  <c r="W23" i="12"/>
  <c r="G111" i="30"/>
  <c r="G113" i="30"/>
  <c r="G110" i="30"/>
  <c r="S7" i="21"/>
  <c r="F53" i="21"/>
  <c r="F54" i="21"/>
  <c r="F55" i="21"/>
  <c r="F56" i="21"/>
  <c r="F52" i="21"/>
  <c r="S8" i="21"/>
  <c r="S9" i="21"/>
  <c r="S10" i="21"/>
  <c r="S11" i="21"/>
  <c r="G109" i="30"/>
  <c r="G108" i="30"/>
  <c r="G107" i="30"/>
  <c r="G106" i="30"/>
  <c r="G105" i="30"/>
  <c r="G104" i="30"/>
  <c r="G103" i="30"/>
  <c r="B8" i="30"/>
  <c r="B9" i="30"/>
  <c r="B10" i="30"/>
  <c r="B7" i="30"/>
  <c r="J7" i="21"/>
  <c r="W7" i="12"/>
  <c r="Y7" i="12" s="1"/>
  <c r="D21" i="8"/>
  <c r="B10" i="22"/>
  <c r="E10" i="22"/>
  <c r="Q11" i="23"/>
  <c r="Q10" i="23"/>
  <c r="B8" i="27"/>
  <c r="D11" i="8"/>
  <c r="D10" i="8"/>
  <c r="D9" i="8"/>
  <c r="B27" i="29"/>
  <c r="H27" i="29" s="1"/>
  <c r="A72" i="29" s="1"/>
  <c r="B26" i="29"/>
  <c r="A43" i="29" s="1"/>
  <c r="B25" i="29"/>
  <c r="A42" i="29" s="1"/>
  <c r="B21" i="29"/>
  <c r="B20" i="29"/>
  <c r="B19" i="29"/>
  <c r="B15" i="29"/>
  <c r="H15" i="29" s="1"/>
  <c r="B14" i="29"/>
  <c r="E14" i="29" s="1"/>
  <c r="B13" i="29"/>
  <c r="E13" i="29" s="1"/>
  <c r="B12" i="29"/>
  <c r="H12" i="29" s="1"/>
  <c r="B11" i="29"/>
  <c r="H11" i="29" s="1"/>
  <c r="B7" i="29"/>
  <c r="B8" i="29"/>
  <c r="B10" i="29"/>
  <c r="B3" i="29"/>
  <c r="A35" i="29" s="1"/>
  <c r="A75" i="29"/>
  <c r="A74" i="29"/>
  <c r="A69" i="29"/>
  <c r="A62" i="29"/>
  <c r="A61" i="29"/>
  <c r="A60" i="29"/>
  <c r="A55" i="29"/>
  <c r="A48" i="29"/>
  <c r="A47" i="29"/>
  <c r="A46" i="29"/>
  <c r="A41" i="29"/>
  <c r="A40" i="29"/>
  <c r="A36" i="29"/>
  <c r="A34" i="29"/>
  <c r="H28" i="29"/>
  <c r="A73" i="29" s="1"/>
  <c r="E28" i="29"/>
  <c r="A59" i="29" s="1"/>
  <c r="A45" i="29"/>
  <c r="H23" i="29"/>
  <c r="A68" i="29" s="1"/>
  <c r="E23" i="29"/>
  <c r="A54" i="29" s="1"/>
  <c r="H10" i="29"/>
  <c r="E10" i="29"/>
  <c r="H8" i="29"/>
  <c r="E8" i="29"/>
  <c r="H4" i="29"/>
  <c r="A64" i="29" s="1"/>
  <c r="E4" i="29"/>
  <c r="A50" i="29" s="1"/>
  <c r="H3" i="29"/>
  <c r="A63" i="29" s="1"/>
  <c r="E3" i="29"/>
  <c r="A49" i="29" s="1"/>
  <c r="N19" i="12"/>
  <c r="N18" i="12"/>
  <c r="N11" i="12"/>
  <c r="N12" i="12"/>
  <c r="N13" i="12"/>
  <c r="N14" i="12"/>
  <c r="N15" i="12"/>
  <c r="N10" i="12"/>
  <c r="X9" i="21"/>
  <c r="X11" i="21"/>
  <c r="X10" i="21"/>
  <c r="X8" i="21"/>
  <c r="W5" i="12"/>
  <c r="Y5" i="12" s="1"/>
  <c r="Y18" i="12"/>
  <c r="Y15" i="12"/>
  <c r="Y1" i="12"/>
  <c r="W8" i="12"/>
  <c r="Y8" i="12" s="1"/>
  <c r="W14" i="12"/>
  <c r="Y14" i="12" s="1"/>
  <c r="W24" i="12"/>
  <c r="W19" i="12"/>
  <c r="W18" i="12"/>
  <c r="W17" i="12"/>
  <c r="W13" i="12"/>
  <c r="Y13" i="12" s="1"/>
  <c r="W12" i="12"/>
  <c r="Y12" i="12" s="1"/>
  <c r="W11" i="12"/>
  <c r="Y11" i="12" s="1"/>
  <c r="W10" i="12"/>
  <c r="Y10" i="12" s="1"/>
  <c r="W9" i="12"/>
  <c r="Y9" i="12" s="1"/>
  <c r="W6" i="12"/>
  <c r="Y6" i="12" s="1"/>
  <c r="W4" i="12"/>
  <c r="Y4" i="12" s="1"/>
  <c r="W3" i="12"/>
  <c r="Y3" i="12" s="1"/>
  <c r="W2" i="12"/>
  <c r="Y2" i="12" s="1"/>
  <c r="B4" i="25" a="1"/>
  <c r="B3" i="25" a="1"/>
  <c r="B6" i="25" a="1"/>
  <c r="B5" i="25" a="1"/>
  <c r="E20" i="29" l="1"/>
  <c r="E21" i="29"/>
  <c r="E19" i="29"/>
  <c r="H19" i="29"/>
  <c r="A67" i="29" s="1"/>
  <c r="B7" i="27"/>
  <c r="E7" i="27"/>
  <c r="Y17" i="12"/>
  <c r="X7" i="21"/>
  <c r="B4" i="25"/>
  <c r="B5" i="25"/>
  <c r="B6" i="25"/>
  <c r="B3" i="25"/>
  <c r="H5" i="29"/>
  <c r="A65" i="29" s="1"/>
  <c r="E9" i="29"/>
  <c r="H9" i="29"/>
  <c r="A39" i="29"/>
  <c r="E15" i="29"/>
  <c r="H14" i="29"/>
  <c r="H13" i="29"/>
  <c r="B9" i="29"/>
  <c r="A38" i="29" s="1"/>
  <c r="E12" i="29"/>
  <c r="E27" i="29"/>
  <c r="A58" i="29" s="1"/>
  <c r="E7" i="29"/>
  <c r="E25" i="29"/>
  <c r="A56" i="29" s="1"/>
  <c r="A44" i="29"/>
  <c r="H7" i="29"/>
  <c r="H25" i="29"/>
  <c r="A70" i="29" s="1"/>
  <c r="E16" i="29"/>
  <c r="E11" i="29"/>
  <c r="E26" i="29"/>
  <c r="A57" i="29" s="1"/>
  <c r="H26" i="29"/>
  <c r="A71" i="29" s="1"/>
  <c r="H16" i="22"/>
  <c r="Y16" i="12"/>
  <c r="J11" i="21"/>
  <c r="J10" i="21"/>
  <c r="J9" i="21"/>
  <c r="B26" i="13"/>
  <c r="A53" i="29" l="1"/>
  <c r="A66" i="29"/>
  <c r="A52" i="29"/>
  <c r="Q6" i="23"/>
  <c r="J18" i="26"/>
  <c r="J19" i="26"/>
  <c r="J20" i="26"/>
  <c r="J21" i="26"/>
  <c r="J22" i="26"/>
  <c r="J23" i="26"/>
  <c r="J24" i="26"/>
  <c r="J17" i="26"/>
  <c r="H1" i="8"/>
  <c r="L33" i="18" l="1"/>
  <c r="I4" i="11"/>
  <c r="J7" i="27"/>
  <c r="D43" i="7"/>
  <c r="D18" i="8"/>
  <c r="D16" i="8"/>
  <c r="D8" i="8"/>
  <c r="J4" i="27"/>
  <c r="J5" i="27"/>
  <c r="J3" i="27"/>
  <c r="A82" i="27" l="1"/>
  <c r="H28" i="27"/>
  <c r="A73" i="27" s="1"/>
  <c r="E28" i="27"/>
  <c r="A59" i="27" s="1"/>
  <c r="B28" i="27"/>
  <c r="A45" i="27" s="1"/>
  <c r="H27" i="27"/>
  <c r="A72" i="27" s="1"/>
  <c r="B26" i="27"/>
  <c r="E26" i="27" s="1"/>
  <c r="A57" i="27" s="1"/>
  <c r="B25" i="27"/>
  <c r="A42" i="27" s="1"/>
  <c r="H21" i="27"/>
  <c r="E21" i="27"/>
  <c r="B21" i="27"/>
  <c r="H20" i="27"/>
  <c r="E20" i="27"/>
  <c r="B20" i="27"/>
  <c r="H19" i="27"/>
  <c r="E19" i="27"/>
  <c r="B19" i="27"/>
  <c r="B16" i="27"/>
  <c r="H16" i="27" s="1"/>
  <c r="B15" i="27"/>
  <c r="H15" i="27" s="1"/>
  <c r="B14" i="27"/>
  <c r="E14" i="27" s="1"/>
  <c r="B13" i="27"/>
  <c r="H13" i="27" s="1"/>
  <c r="B12" i="27"/>
  <c r="H12" i="27" s="1"/>
  <c r="H11" i="27"/>
  <c r="E11" i="27"/>
  <c r="H9" i="27"/>
  <c r="E9" i="27"/>
  <c r="B9" i="27"/>
  <c r="B10" i="27" s="1"/>
  <c r="H5" i="27"/>
  <c r="A65" i="27" s="1"/>
  <c r="E5" i="27"/>
  <c r="A51" i="27" s="1"/>
  <c r="B5" i="27"/>
  <c r="A37" i="27" s="1"/>
  <c r="H3" i="27"/>
  <c r="A63" i="27" s="1"/>
  <c r="E3" i="27"/>
  <c r="A49" i="27" s="1"/>
  <c r="B3" i="27"/>
  <c r="A35" i="27" s="1"/>
  <c r="A75" i="27"/>
  <c r="A74" i="27"/>
  <c r="A69" i="27"/>
  <c r="A62" i="27"/>
  <c r="A61" i="27"/>
  <c r="A60" i="27"/>
  <c r="A55" i="27"/>
  <c r="A48" i="27"/>
  <c r="A47" i="27"/>
  <c r="A46" i="27"/>
  <c r="A41" i="27"/>
  <c r="A40" i="27"/>
  <c r="A36" i="27"/>
  <c r="A34" i="27"/>
  <c r="H23" i="27"/>
  <c r="A68" i="27" s="1"/>
  <c r="E23" i="27"/>
  <c r="A54" i="27" s="1"/>
  <c r="H4" i="27"/>
  <c r="A64" i="27" s="1"/>
  <c r="E4" i="27"/>
  <c r="A50" i="27" s="1"/>
  <c r="B34" i="18"/>
  <c r="B35" i="18"/>
  <c r="B36" i="18"/>
  <c r="B37" i="18"/>
  <c r="B38" i="18"/>
  <c r="B39" i="18"/>
  <c r="B40" i="18"/>
  <c r="B41" i="18"/>
  <c r="B42" i="18"/>
  <c r="B43" i="18"/>
  <c r="B44" i="18"/>
  <c r="B45" i="18"/>
  <c r="B33" i="18"/>
  <c r="L44" i="18"/>
  <c r="L42" i="18"/>
  <c r="L37" i="18"/>
  <c r="L36" i="18"/>
  <c r="L35" i="18"/>
  <c r="L34" i="18"/>
  <c r="H4" i="14"/>
  <c r="H14" i="14"/>
  <c r="H15" i="14"/>
  <c r="H16" i="14"/>
  <c r="H17" i="14"/>
  <c r="H19" i="14"/>
  <c r="H20" i="14"/>
  <c r="H21" i="14"/>
  <c r="H8" i="14"/>
  <c r="H9" i="14"/>
  <c r="H10" i="14"/>
  <c r="H11" i="14"/>
  <c r="H12" i="14"/>
  <c r="H13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8" i="14"/>
  <c r="J8" i="21"/>
  <c r="F37" i="7"/>
  <c r="D42" i="7"/>
  <c r="F36" i="7" s="1"/>
  <c r="D40" i="7"/>
  <c r="D39" i="7"/>
  <c r="D36" i="7"/>
  <c r="F35" i="7" s="1"/>
  <c r="D33" i="7"/>
  <c r="F33" i="7" s="1"/>
  <c r="D32" i="7"/>
  <c r="F32" i="7" s="1"/>
  <c r="D31" i="7"/>
  <c r="F31" i="7" s="1"/>
  <c r="D45" i="7"/>
  <c r="F30" i="7"/>
  <c r="F34" i="7"/>
  <c r="F38" i="7"/>
  <c r="B33" i="24"/>
  <c r="B34" i="24"/>
  <c r="B35" i="24"/>
  <c r="B36" i="24"/>
  <c r="B37" i="24"/>
  <c r="B38" i="24"/>
  <c r="A38" i="27" l="1"/>
  <c r="H10" i="27"/>
  <c r="A67" i="27"/>
  <c r="E13" i="27"/>
  <c r="A53" i="27"/>
  <c r="A39" i="27"/>
  <c r="E10" i="27"/>
  <c r="E25" i="27"/>
  <c r="A56" i="27" s="1"/>
  <c r="H25" i="27"/>
  <c r="A70" i="27" s="1"/>
  <c r="H14" i="27"/>
  <c r="E8" i="27"/>
  <c r="H8" i="27"/>
  <c r="H26" i="27"/>
  <c r="A71" i="27" s="1"/>
  <c r="A43" i="27"/>
  <c r="E12" i="27"/>
  <c r="E27" i="27"/>
  <c r="A58" i="27" s="1"/>
  <c r="E16" i="27"/>
  <c r="A44" i="27"/>
  <c r="E15" i="27"/>
  <c r="Q9" i="23"/>
  <c r="Q4" i="23"/>
  <c r="Q8" i="23"/>
  <c r="Q7" i="23"/>
  <c r="Q5" i="23"/>
  <c r="Q3" i="23"/>
  <c r="B7" i="22"/>
  <c r="E21" i="22"/>
  <c r="E20" i="22"/>
  <c r="E19" i="22"/>
  <c r="B21" i="22"/>
  <c r="B20" i="22"/>
  <c r="B19" i="22"/>
  <c r="H21" i="22"/>
  <c r="H20" i="22"/>
  <c r="H19" i="22"/>
  <c r="H8" i="22"/>
  <c r="E8" i="22"/>
  <c r="B8" i="22"/>
  <c r="B11" i="22"/>
  <c r="H11" i="22" s="1"/>
  <c r="H23" i="20"/>
  <c r="H22" i="20"/>
  <c r="H24" i="20"/>
  <c r="A46" i="22"/>
  <c r="B15" i="22"/>
  <c r="B12" i="22"/>
  <c r="H12" i="22" s="1"/>
  <c r="B5" i="22"/>
  <c r="A37" i="22" s="1"/>
  <c r="H3" i="22"/>
  <c r="A63" i="22" s="1"/>
  <c r="A75" i="22"/>
  <c r="A74" i="22"/>
  <c r="A69" i="22"/>
  <c r="A62" i="22"/>
  <c r="A61" i="22"/>
  <c r="A60" i="22"/>
  <c r="A55" i="22"/>
  <c r="A48" i="22"/>
  <c r="A47" i="22"/>
  <c r="A41" i="22"/>
  <c r="A40" i="22"/>
  <c r="A34" i="22"/>
  <c r="A36" i="22"/>
  <c r="H28" i="22"/>
  <c r="A73" i="22" s="1"/>
  <c r="E28" i="22"/>
  <c r="A59" i="22" s="1"/>
  <c r="B28" i="22"/>
  <c r="A45" i="22" s="1"/>
  <c r="B27" i="22"/>
  <c r="A44" i="22" s="1"/>
  <c r="B26" i="22"/>
  <c r="H26" i="22" s="1"/>
  <c r="A71" i="22" s="1"/>
  <c r="B25" i="22"/>
  <c r="H25" i="22" s="1"/>
  <c r="A70" i="22" s="1"/>
  <c r="H23" i="22"/>
  <c r="A68" i="22" s="1"/>
  <c r="E23" i="22"/>
  <c r="A54" i="22" s="1"/>
  <c r="B3" i="22"/>
  <c r="A35" i="22" s="1"/>
  <c r="B14" i="22"/>
  <c r="E14" i="22" s="1"/>
  <c r="B13" i="22"/>
  <c r="E13" i="22" s="1"/>
  <c r="H10" i="22"/>
  <c r="E3" i="22"/>
  <c r="A49" i="22" s="1"/>
  <c r="H4" i="22"/>
  <c r="A64" i="22" s="1"/>
  <c r="E4" i="22"/>
  <c r="A50" i="22" s="1"/>
  <c r="I7" i="11"/>
  <c r="I8" i="11"/>
  <c r="I9" i="11"/>
  <c r="I10" i="11"/>
  <c r="I6" i="11"/>
  <c r="H21" i="20"/>
  <c r="H20" i="20"/>
  <c r="H19" i="20"/>
  <c r="H18" i="20"/>
  <c r="H17" i="20"/>
  <c r="H16" i="20"/>
  <c r="H15" i="20"/>
  <c r="H14" i="20"/>
  <c r="H13" i="20"/>
  <c r="H12" i="20"/>
  <c r="H11" i="20"/>
  <c r="H10" i="20"/>
  <c r="H9" i="20"/>
  <c r="H8" i="20"/>
  <c r="B37" i="19"/>
  <c r="B35" i="19"/>
  <c r="D27" i="8"/>
  <c r="D26" i="8"/>
  <c r="D20" i="8"/>
  <c r="D17" i="8"/>
  <c r="H6" i="8" s="1"/>
  <c r="D7" i="8"/>
  <c r="D24" i="8" s="1"/>
  <c r="D6" i="8"/>
  <c r="D4" i="8"/>
  <c r="D3" i="8"/>
  <c r="D2" i="8"/>
  <c r="B36" i="19"/>
  <c r="B34" i="19"/>
  <c r="B7" i="13"/>
  <c r="H5" i="8" l="1"/>
  <c r="A52" i="27"/>
  <c r="A66" i="27"/>
  <c r="H15" i="22"/>
  <c r="E15" i="22"/>
  <c r="E7" i="22"/>
  <c r="H7" i="22"/>
  <c r="E11" i="22"/>
  <c r="A67" i="22"/>
  <c r="H14" i="22"/>
  <c r="A53" i="22"/>
  <c r="H13" i="22"/>
  <c r="A39" i="22"/>
  <c r="E5" i="22"/>
  <c r="A51" i="22" s="1"/>
  <c r="E27" i="22"/>
  <c r="A58" i="22" s="1"/>
  <c r="H5" i="22"/>
  <c r="A65" i="22" s="1"/>
  <c r="H27" i="22"/>
  <c r="A72" i="22" s="1"/>
  <c r="E12" i="22"/>
  <c r="A42" i="22"/>
  <c r="A43" i="22"/>
  <c r="E26" i="22"/>
  <c r="A57" i="22" s="1"/>
  <c r="E25" i="22"/>
  <c r="A56" i="22" s="1"/>
  <c r="H9" i="22"/>
  <c r="E9" i="22"/>
  <c r="B9" i="22"/>
  <c r="A38" i="22" s="1"/>
  <c r="A52" i="22" l="1"/>
  <c r="A66" i="22"/>
  <c r="B13" i="13"/>
  <c r="D13" i="13" s="1"/>
  <c r="B25" i="13"/>
  <c r="B14" i="13"/>
  <c r="D14" i="13" s="1"/>
  <c r="B12" i="13"/>
  <c r="D12" i="13" s="1"/>
  <c r="B8" i="13"/>
  <c r="D8" i="13" s="1"/>
  <c r="B24" i="13"/>
  <c r="B23" i="13"/>
  <c r="B22" i="13"/>
  <c r="B19" i="13"/>
  <c r="B18" i="13"/>
  <c r="B17" i="13"/>
  <c r="B11" i="13"/>
  <c r="D11" i="13" s="1"/>
  <c r="B9" i="13"/>
  <c r="D9" i="13" s="1"/>
  <c r="D7" i="13"/>
  <c r="B6" i="13"/>
  <c r="D6" i="13" s="1"/>
  <c r="B5" i="13"/>
  <c r="D5" i="13" s="1"/>
  <c r="B4" i="13"/>
  <c r="D4" i="13" s="1"/>
  <c r="B3" i="13"/>
  <c r="D3" i="13" s="1"/>
  <c r="B2" i="13"/>
  <c r="D2" i="13" s="1"/>
  <c r="D18" i="13"/>
  <c r="D15" i="13"/>
  <c r="D10" i="13"/>
  <c r="D1" i="13"/>
  <c r="D15" i="15"/>
  <c r="D12" i="15"/>
  <c r="D10" i="15"/>
  <c r="D1" i="15"/>
  <c r="B21" i="15"/>
  <c r="B20" i="15"/>
  <c r="B19" i="15"/>
  <c r="B6" i="15"/>
  <c r="D6" i="15" s="1"/>
  <c r="B5" i="15"/>
  <c r="D5" i="15" s="1"/>
  <c r="B8" i="15"/>
  <c r="D8" i="15" s="1"/>
  <c r="B7" i="15"/>
  <c r="D7" i="15" s="1"/>
  <c r="B16" i="15"/>
  <c r="B15" i="15"/>
  <c r="B14" i="15"/>
  <c r="B11" i="15"/>
  <c r="D11" i="15" s="1"/>
  <c r="B9" i="15"/>
  <c r="D9" i="15" s="1"/>
  <c r="B4" i="15"/>
  <c r="D4" i="15" s="1"/>
  <c r="B3" i="15"/>
  <c r="D3" i="15" s="1"/>
  <c r="B2" i="15"/>
  <c r="D2" i="15" s="1"/>
  <c r="B5" i="10"/>
  <c r="F5" i="10" s="1"/>
  <c r="F29" i="10"/>
  <c r="F28" i="10"/>
  <c r="F23" i="10"/>
  <c r="F22" i="10"/>
  <c r="F16" i="10"/>
  <c r="F15" i="10"/>
  <c r="F14" i="10"/>
  <c r="F9" i="10"/>
  <c r="F8" i="10"/>
  <c r="F4" i="10"/>
  <c r="F2" i="10"/>
  <c r="B47" i="10"/>
  <c r="B46" i="10"/>
  <c r="B45" i="10"/>
  <c r="B54" i="10"/>
  <c r="F27" i="10" s="1"/>
  <c r="B49" i="10"/>
  <c r="B38" i="10"/>
  <c r="B36" i="10"/>
  <c r="B37" i="10" s="1"/>
  <c r="B31" i="10"/>
  <c r="F17" i="10" s="1"/>
  <c r="B32" i="10"/>
  <c r="F18" i="10" s="1"/>
  <c r="B26" i="10"/>
  <c r="F13" i="10" s="1"/>
  <c r="B25" i="10"/>
  <c r="F12" i="10" s="1"/>
  <c r="B24" i="10"/>
  <c r="F11" i="10" s="1"/>
  <c r="B23" i="10"/>
  <c r="F10" i="10" s="1"/>
  <c r="B19" i="10"/>
  <c r="B18" i="10"/>
  <c r="B17" i="10"/>
  <c r="B11" i="10"/>
  <c r="B39" i="10" s="1"/>
  <c r="B8" i="10"/>
  <c r="B9" i="10" s="1"/>
  <c r="B7" i="10"/>
  <c r="B35" i="10" s="1"/>
  <c r="B3" i="10"/>
  <c r="F3" i="10" s="1"/>
  <c r="H10" i="8"/>
  <c r="H17" i="8"/>
  <c r="H16" i="8"/>
  <c r="H13" i="8"/>
  <c r="H12" i="8"/>
  <c r="H11" i="8"/>
  <c r="H9" i="8"/>
  <c r="H8" i="8"/>
  <c r="H7" i="8"/>
  <c r="H4" i="8"/>
  <c r="H3" i="8"/>
  <c r="H2" i="8"/>
  <c r="F39" i="7"/>
  <c r="F44" i="7"/>
  <c r="F43" i="7"/>
  <c r="F42" i="7"/>
  <c r="F41" i="7"/>
  <c r="F40" i="7"/>
  <c r="H6" i="6"/>
  <c r="H14" i="6"/>
  <c r="H13" i="6"/>
  <c r="H12" i="6"/>
  <c r="H11" i="6"/>
  <c r="H10" i="6"/>
  <c r="H9" i="6"/>
  <c r="H8" i="6"/>
  <c r="H7" i="6"/>
  <c r="H4" i="6"/>
  <c r="H3" i="6"/>
  <c r="H2" i="6"/>
  <c r="H1" i="6"/>
  <c r="D16" i="13" l="1"/>
  <c r="D14" i="15"/>
  <c r="D13" i="15"/>
  <c r="D17" i="13"/>
  <c r="F7" i="10"/>
  <c r="B33" i="10"/>
  <c r="F19" i="10" s="1"/>
  <c r="F21" i="10"/>
  <c r="F6" i="10"/>
  <c r="F20" i="10"/>
  <c r="B51" i="10"/>
  <c r="F24" i="10" s="1"/>
  <c r="B52" i="10"/>
  <c r="F25" i="10" s="1"/>
  <c r="B53" i="10"/>
  <c r="F26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tc={C3199B3C-AFF8-44F0-B330-CF807D20C0E0}</author>
  </authors>
  <commentList>
    <comment ref="H23" authorId="0" shapeId="0" xr:uid="{C3199B3C-AFF8-44F0-B330-CF807D20C0E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Não tem diretório
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E9213DC-7926-4D91-8B79-9CE31A39A74B}" keepAlive="1" name="Consulta - AMX146091_14GB" description="Conexão com a consulta 'AMX146091_14GB' na pasta de trabalho." type="5" refreshedVersion="0" background="1">
    <dbPr connection="Provider=Microsoft.Mashup.OleDb.1;Data Source=$Workbook$;Location=AMX146091_14GB;Extended Properties=&quot;&quot;" command="SELECT * FROM [AMX146091_14GB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<sst xmlns="http://schemas.openxmlformats.org/spreadsheetml/2006/main" count="4530" uniqueCount="1419">
  <si>
    <t>Posi</t>
  </si>
  <si>
    <t>id Pre</t>
  </si>
  <si>
    <t>id Ctrl</t>
  </si>
  <si>
    <t>id Pos</t>
  </si>
  <si>
    <t>Marca</t>
  </si>
  <si>
    <t>Nome do Produto</t>
  </si>
  <si>
    <t>Código da Campanha</t>
  </si>
  <si>
    <t>TAG</t>
  </si>
  <si>
    <t>Preço DE</t>
  </si>
  <si>
    <t>Plano</t>
  </si>
  <si>
    <t>Preço POR</t>
  </si>
  <si>
    <t>QTD de Parcelas</t>
  </si>
  <si>
    <t>Imagem</t>
  </si>
  <si>
    <t>Selo Orelha</t>
  </si>
  <si>
    <t>Selo Etiqueta</t>
  </si>
  <si>
    <t>Texto Etiqueta</t>
  </si>
  <si>
    <t>Selo Brinde</t>
  </si>
  <si>
    <t>Pré</t>
  </si>
  <si>
    <t>Ctrl</t>
  </si>
  <si>
    <t>Pós</t>
  </si>
  <si>
    <t>Linha</t>
  </si>
  <si>
    <t>4172695f-af33-4a5d-b726-104c507b4a05</t>
  </si>
  <si>
    <t>e612455a-f5c4-49a8-9fa7-f29f40b6cc25</t>
  </si>
  <si>
    <t>f664c7ad-d7bd-4a81-9094-ee26b29d5cef</t>
  </si>
  <si>
    <t>Samsung</t>
  </si>
  <si>
    <t>Galaxy S23 Ultra 5G 25GB Violeta</t>
  </si>
  <si>
    <t>10.489,00</t>
  </si>
  <si>
    <t>Controle 20GB</t>
  </si>
  <si>
    <t>7.789,00</t>
  </si>
  <si>
    <t>Pós 50GB</t>
  </si>
  <si>
    <t>6.639,00</t>
  </si>
  <si>
    <t>Pós 400GB</t>
  </si>
  <si>
    <t>4.639,00</t>
  </si>
  <si>
    <t>s23_ultra_256GB_violeta.png</t>
  </si>
  <si>
    <t>https://planoscelular.claro.com.br/Aparelhos/Smartphone/SAMSUNG-GALAXY-S23-UL-5G-256GB/p/000000000000018506</t>
  </si>
  <si>
    <t>PRODUÇÃO</t>
  </si>
  <si>
    <t>3bef353c-0116-4117-9e35-cf07d1f683bc</t>
  </si>
  <si>
    <t>0962aa2a-fe8c-4651-9011-510c9c9bbd48</t>
  </si>
  <si>
    <t>15cc2253-25ec-4a16-80f0-e496bbf84908</t>
  </si>
  <si>
    <t>Motorola</t>
  </si>
  <si>
    <t>Moto G23 128GB</t>
  </si>
  <si>
    <t>1.489,00</t>
  </si>
  <si>
    <t>839,00</t>
  </si>
  <si>
    <t>389,00</t>
  </si>
  <si>
    <t>exclusivo_claro</t>
  </si>
  <si>
    <t>366cdf29-79b6-49e9-aa33-5841418050a0</t>
  </si>
  <si>
    <t>b48884bb-eb79-446e-846c-becbd323df89</t>
  </si>
  <si>
    <t>0cfd61e5-2496-49a0-adbc-221678f08adf</t>
  </si>
  <si>
    <t>Galaxy A13 128GB</t>
  </si>
  <si>
    <t>1.589,00</t>
  </si>
  <si>
    <t>989,00</t>
  </si>
  <si>
    <t>889,00</t>
  </si>
  <si>
    <t>589,00</t>
  </si>
  <si>
    <t>claro_0_samsung_a13_preto_frente_verso-deck.png</t>
  </si>
  <si>
    <t>https://planoscelular.claro.com.br/claroCampaigns/subcampaign?sku=000000000000018321&amp;campaign=CBA&amp;subCampaign=&amp;paymentMethod=debitcard&amp;loyalty=true&amp;invoiceType=DIGITAL&amp;city=&amp;state=&amp;processType=migrate&amp;offerPlanId=22285&amp;smartphone=true</t>
  </si>
  <si>
    <t>https://planoscelular.claro.com.br/claroCampaigns/subcampaign?sku=000000000000018321&amp;campaign=CBA&amp;subCampaign=&amp;paymentMethod=debitcard&amp;loyalty=true&amp;invoiceType=DIGITAL&amp;city=&amp;state=&amp;processType=migrate&amp;offerPlanId=22382&amp;smartphone=true</t>
  </si>
  <si>
    <t>cca7287d-9d24-40f2-afc9-6d6b8eaf3e31</t>
  </si>
  <si>
    <t>3eddcc9b-b7b3-4d8e-a208-e122d22359f9</t>
  </si>
  <si>
    <t>41abc58c-c7da-4c64-b00f-0caa37124872</t>
  </si>
  <si>
    <t>4.489,00</t>
  </si>
  <si>
    <t>4.289,00</t>
  </si>
  <si>
    <t>compre_ganhe.png</t>
  </si>
  <si>
    <t>e5a18120-e2b2-47f3-af84-144a717bc3cf</t>
  </si>
  <si>
    <t>67a02e8c-0e05-4847-ac2e-1360d489acb4</t>
  </si>
  <si>
    <t>f27f2928-41f8-4e58-b81f-1b492e4f7042</t>
  </si>
  <si>
    <t>Apple</t>
  </si>
  <si>
    <t>iPhone 14 128GB</t>
  </si>
  <si>
    <t>6.999,00</t>
  </si>
  <si>
    <t>6.489,00</t>
  </si>
  <si>
    <t>6.089,00</t>
  </si>
  <si>
    <t>5.169,00</t>
  </si>
  <si>
    <t>claro_0_apple_iphone14_roxo.png</t>
  </si>
  <si>
    <t>f146b1dd-830e-4bd2-b4df-c565c496b1da</t>
  </si>
  <si>
    <t>761201db-6ded-4ef2-a9b1-f5f554251108</t>
  </si>
  <si>
    <t>20fb823e-0b24-4def-b418-7b11056c0416</t>
  </si>
  <si>
    <t>Moto E20 32GB</t>
  </si>
  <si>
    <t>639,00</t>
  </si>
  <si>
    <t>539,00</t>
  </si>
  <si>
    <t>claro_0_motorola_e20_cinza_selo_primario_super_desconto.png</t>
  </si>
  <si>
    <t>https://planoscelular.claro.com.br/claroCampaigns/subcampaign?sku=000000000000018051&amp;campaign=CBA&amp;subCampaign=&amp;paymentMethod=debitcard&amp;loyalty=true&amp;invoiceType=DIGITAL&amp;city=&amp;state=&amp;processType=migrate&amp;offerPlanId=22285&amp;smartphone=true</t>
  </si>
  <si>
    <t>https://planoscelular.claro.com.br/claroCampaigns/subcampaign?sku=000000000000018051&amp;campaign=CBA&amp;subCampaign=&amp;paymentMethod=debitcard&amp;loyalty=true&amp;invoiceType=DIGITAL&amp;city=&amp;state=&amp;processType=migrate&amp;offerPlanId=22382&amp;smartphone=true</t>
  </si>
  <si>
    <t>UAT</t>
  </si>
  <si>
    <t>86a02e0e-fd0e-42f9-96d7-e28e30659d5d</t>
  </si>
  <si>
    <t>4b953573-023a-40b6-b1b7-163569bc7d03</t>
  </si>
  <si>
    <t>11dd1ed4-60f0-47ac-8c94-e1460d38edd9</t>
  </si>
  <si>
    <t>Galaxy S23 Plus 5G 256GB Creme</t>
  </si>
  <si>
    <t>8.489,00</t>
  </si>
  <si>
    <t>5.689,00</t>
  </si>
  <si>
    <t>3.289,00</t>
  </si>
  <si>
    <t>s23_plus_128GB_creme.png</t>
  </si>
  <si>
    <t>black_friday.png</t>
  </si>
  <si>
    <t>oferta_da_madrugada</t>
  </si>
  <si>
    <t>Ofertas!</t>
  </si>
  <si>
    <t>smartwatch.png</t>
  </si>
  <si>
    <t>https://planoscelular.claro.com.br/Aparelhos/Smartphone/SAMSUNG-GALAXY-S23-PL-5G-256GB/p/000000000000018479</t>
  </si>
  <si>
    <t>a7cc124d-8738-4323-8f01-2f76baba5b1a</t>
  </si>
  <si>
    <t>583ad918-5439-4cae-9917-f524a87b5462</t>
  </si>
  <si>
    <t>c6f3222c-36e0-4a2a-a858-ad922f0f91f7</t>
  </si>
  <si>
    <t>Galaxy S23 Plus 5G 256GB Preto</t>
  </si>
  <si>
    <t>s23_plus_128GB_preto.png</t>
  </si>
  <si>
    <t>pre_e_lancamento</t>
  </si>
  <si>
    <t>Compre antes</t>
  </si>
  <si>
    <t>fone_de_ouvido.png</t>
  </si>
  <si>
    <t>https://planoscelular.claro.com.br/Aparelhos/Smartphone/SAMSUNG-GALAXY-S23-PL-5G-256GB/p/000000000000018478</t>
  </si>
  <si>
    <t>9b290460-086d-4d1c-8d63-af0ede855931</t>
  </si>
  <si>
    <t>f6976aae-2dd2-47b3-a921-a3ab4f879f34</t>
  </si>
  <si>
    <t>64edda5d-2942-4c2e-bcc1-6a2babcdc3a0</t>
  </si>
  <si>
    <t>Galaxy S23 Plus 5G 256GB Verde</t>
  </si>
  <si>
    <t>s23_plus_128GB_verde.png</t>
  </si>
  <si>
    <t>exclusivo.png</t>
  </si>
  <si>
    <t>Exclusividade</t>
  </si>
  <si>
    <t>https://planoscelular.claro.com.br/Aparelhos/Smartphone/SAMSUNG-GALAXY-S23-PL-5G-256GB/p/000000000000018480</t>
  </si>
  <si>
    <t>967e8029-10de-4209-b706-7895863e4248</t>
  </si>
  <si>
    <t>cfab99d6-9dc5-4a6e-8a08-c7566a6f5e38</t>
  </si>
  <si>
    <t>2c8ce92c-73e7-4948-ab5c-fe1f963b14e7</t>
  </si>
  <si>
    <t>Galaxy S23 Plus 5G 256GB Violeta</t>
  </si>
  <si>
    <t>s23_plus_128GB_violeta.png</t>
  </si>
  <si>
    <t>oferta_madrugada.png</t>
  </si>
  <si>
    <t>black_friday</t>
  </si>
  <si>
    <t>Agora só em Novembro</t>
  </si>
  <si>
    <t>https://planoscelular.claro.com.br/Aparelhos/Smartphone/SAMSUNG-GALAXY-S23-PL-5G-256GB/p/000000000000018481</t>
  </si>
  <si>
    <t>e6349b76-629b-4cfa-b802-8835c2b1abc0</t>
  </si>
  <si>
    <t>e4f59850-167b-420a-813f-f8492df6827f</t>
  </si>
  <si>
    <t>e39b2e29-65a3-4a5e-9afd-27775ed73d6a</t>
  </si>
  <si>
    <t>Galaxy S23 Ultra 5G 25GB Creme</t>
  </si>
  <si>
    <t>s23_ultra_256GB_creme.png</t>
  </si>
  <si>
    <t>saldao.png</t>
  </si>
  <si>
    <t>https://planoscelular.claro.com.br/Aparelhos/Smartphone/SAMSUNG-GALAXY-S23-UL-5G-256GB/p/000000000000018504</t>
  </si>
  <si>
    <t>a2e7658c-2f91-44c9-803f-e2b38027a7a5</t>
  </si>
  <si>
    <t>cd2a6b5b-e359-4dc4-bc06-c0fb133422a1</t>
  </si>
  <si>
    <t>16c39e1d-d015-437a-a63d-6cf3633f9335</t>
  </si>
  <si>
    <t>Galaxy S23 Ultra 5G 25GB Preto</t>
  </si>
  <si>
    <t>s23_ultra_256GB_preto.png</t>
  </si>
  <si>
    <t>https://planoscelular.claro.com.br/Aparelhos/Smartphone/SAMSUNG-GALAXY-S23-UL-5G-256GB/p/000000000000018503</t>
  </si>
  <si>
    <t>21d63494-baed-4b2a-97a4-80dd21e57729</t>
  </si>
  <si>
    <t>1afb1548-b7d5-421c-849f-9e5b1bb1e2c8</t>
  </si>
  <si>
    <t>02c2cfda-5652-48b1-a446-bbfc03b393b3</t>
  </si>
  <si>
    <t>Galaxy S23 Ultra 5G 25GB Verde</t>
  </si>
  <si>
    <t>s23_ultra_256GB_verde.png</t>
  </si>
  <si>
    <t>https://planoscelular.claro.com.br/Aparelhos/Smartphone/SAMSUNG-GALAXY-S23-UL-5G-256GB/p/000000000000018505</t>
  </si>
  <si>
    <t>Template</t>
  </si>
  <si>
    <t>Cor</t>
  </si>
  <si>
    <t>UTMs</t>
  </si>
  <si>
    <t>cinza</t>
  </si>
  <si>
    <t>SITE</t>
  </si>
  <si>
    <t>&amp;utm_source=minhaclaro-deckvendas_web</t>
  </si>
  <si>
    <t>amarelo</t>
  </si>
  <si>
    <t>APP</t>
  </si>
  <si>
    <t>&amp;utm_source=minhaclaro-deckvendas_app</t>
  </si>
  <si>
    <t>vermelho</t>
  </si>
  <si>
    <t>preto</t>
  </si>
  <si>
    <t>black_Friday.png</t>
  </si>
  <si>
    <t>5gmais.png</t>
  </si>
  <si>
    <t>PRÉ</t>
  </si>
  <si>
    <t xml:space="preserve">CONTROLE </t>
  </si>
  <si>
    <t>POS</t>
  </si>
  <si>
    <t>URL da Imagem</t>
  </si>
  <si>
    <t>https://assets.clarobrasil.mobi/ecommerce-config/sales-deck/</t>
  </si>
  <si>
    <t>{</t>
  </si>
  <si>
    <t xml:space="preserve">  \"TEMPLATE\": \"smartphones\",</t>
  </si>
  <si>
    <t xml:space="preserve"> "idcampanha":"</t>
  </si>
  <si>
    <t>",</t>
  </si>
  <si>
    <t xml:space="preserve">  \"TITULO\": \"</t>
  </si>
  <si>
    <t>\",</t>
  </si>
  <si>
    <t xml:space="preserve"> "ativo":</t>
  </si>
  <si>
    <t>true</t>
  </si>
  <si>
    <t>,</t>
  </si>
  <si>
    <t xml:space="preserve">  \"TEXTO_1\": \"</t>
  </si>
  <si>
    <t xml:space="preserve"> "codCampanha":"</t>
  </si>
  <si>
    <t xml:space="preserve">  \"TEXTO_2\": \"</t>
  </si>
  <si>
    <t xml:space="preserve"> "defaultMetaData": "{</t>
  </si>
  <si>
    <t xml:space="preserve">  \"TEMPLATE\": \"ver_todos_os_modelos\",</t>
  </si>
  <si>
    <t xml:space="preserve">  \"TAG\": \"vitrine_aparelhos:</t>
  </si>
  <si>
    <t xml:space="preserve">  \"PRECO_DE\": \"</t>
  </si>
  <si>
    <t xml:space="preserve"> \"URL_IMG\": \"</t>
  </si>
  <si>
    <t>https://assets.clarobrasil.mobi/ecommerce-config/sales-deck/explore_todos_os_modelos.png</t>
  </si>
  <si>
    <t xml:space="preserve"> \"PRECO_POR\": \"</t>
  </si>
  <si>
    <t xml:space="preserve"> \"VALOR_PARCELA\": \"</t>
  </si>
  <si>
    <t xml:space="preserve"> \"QTD_PARCELA\": \"</t>
  </si>
  <si>
    <t xml:space="preserve">  \"SELO_ORELHA\": \"</t>
  </si>
  <si>
    <t xml:space="preserve">  \"SELO_TEMPLATE\": \"</t>
  </si>
  <si>
    <t xml:space="preserve">  \"SELO_TEXTO\": \"</t>
  </si>
  <si>
    <t xml:space="preserve">  \"SELO_BRINDE\": \"</t>
  </si>
  <si>
    <t>\"</t>
  </si>
  <si>
    <t>}",</t>
  </si>
  <si>
    <t xml:space="preserve"> "defaultUrlRedirect": "{</t>
  </si>
  <si>
    <t xml:space="preserve"> \"default\": \"</t>
  </si>
  <si>
    <t xml:space="preserve"> \"MCLA\": \"</t>
  </si>
  <si>
    <t xml:space="preserve"> \"MCAP\": \"</t>
  </si>
  <si>
    <t xml:space="preserve"> "descricao": "</t>
  </si>
  <si>
    <t>Carrossel de Aparelhos - Deck de Vendas</t>
  </si>
  <si>
    <t xml:space="preserve"> "segmento":"</t>
  </si>
  <si>
    <t>PRE_PAGO</t>
  </si>
  <si>
    <t>CONTROLE,CONTROLE_FACIL</t>
  </si>
  <si>
    <t>POS_PAGO</t>
  </si>
  <si>
    <t xml:space="preserve"> "nome": "</t>
  </si>
  <si>
    <t xml:space="preserve"> "prioridade":</t>
  </si>
  <si>
    <t xml:space="preserve"> "textoPrincipal": "</t>
  </si>
  <si>
    <t xml:space="preserve"> "textoSecundario": "</t>
  </si>
  <si>
    <t xml:space="preserve"> "tipo": "</t>
  </si>
  <si>
    <t>deck_showcase</t>
  </si>
  <si>
    <t>"</t>
  </si>
  <si>
    <t>},</t>
  </si>
  <si>
    <t>JSON</t>
  </si>
  <si>
    <t>CARD - TODOS APARELHOS</t>
  </si>
  <si>
    <t xml:space="preserve"> "idcampanha":"eb41a556-a35a-4e72-a088-4f8845503c77",</t>
  </si>
  <si>
    <t xml:space="preserve"> "ativo":true,</t>
  </si>
  <si>
    <t xml:space="preserve"> "codCampanha":"TODOS_APARELHOS_VITRINE",</t>
  </si>
  <si>
    <t xml:space="preserve"> "defaultUrlRedirect": "{ \"default\": \"https://planoscelular.claro.com.br/claro/pt/c/smartphone?utm_source=minhaclaro-deckvendas_app&amp;utm_medium=lojaaparelhosbase&amp;utm_campaign=gatilhodescontosmartphone\", \"MCLA\": \"https://planoscelular.claro.com.br/claro/pt/c/smartphone?utm_source=minhaclaro-deckvendas_web&amp;utm_medium=lojaaparelhosbase&amp;utm_campaign=gatilhodescontosmartphone\", \"MCAP\": \"https://planoscelular.claro.com.br/claro/pt/c/smartphone?utm_source=minhaclaro-deckvendas_app&amp;utm_medium=lojaaparelhosbase-clientepos&amp;utm_campaign=gatilhodescontosmartphone\"}",</t>
  </si>
  <si>
    <t xml:space="preserve"> "descricao": "Ver Todos os Aparelhos Vitrine",</t>
  </si>
  <si>
    <t xml:space="preserve"> "segmento":"",</t>
  </si>
  <si>
    <t xml:space="preserve"> "nome": "Explore todos os modelos na loja.",</t>
  </si>
  <si>
    <t xml:space="preserve"> "prioridade":20,</t>
  </si>
  <si>
    <t xml:space="preserve"> "textoPrincipal": "",</t>
  </si>
  <si>
    <t xml:space="preserve"> "textoSecundario": "",</t>
  </si>
  <si>
    <t xml:space="preserve"> "tipo": "deck_showcase"</t>
  </si>
  <si>
    <t>URL</t>
  </si>
  <si>
    <t>ID</t>
  </si>
  <si>
    <t>Ativo</t>
  </si>
  <si>
    <t>Código</t>
  </si>
  <si>
    <t>Nome</t>
  </si>
  <si>
    <t>Texto Principal</t>
  </si>
  <si>
    <t>Texto Secundário</t>
  </si>
  <si>
    <t>Descrição</t>
  </si>
  <si>
    <t>Nome da Imagem</t>
  </si>
  <si>
    <t>template</t>
  </si>
  <si>
    <t>Desconto</t>
  </si>
  <si>
    <t>Preço Por</t>
  </si>
  <si>
    <t>Segmento</t>
  </si>
  <si>
    <t>Metodo</t>
  </si>
  <si>
    <t>Data Início</t>
  </si>
  <si>
    <t>Data Fim</t>
  </si>
  <si>
    <t>Default</t>
  </si>
  <si>
    <t>Site</t>
  </si>
  <si>
    <t>App</t>
  </si>
  <si>
    <t>2462d285-4322-4665-b0d6-f40c8feb1c78</t>
  </si>
  <si>
    <t>CTRL25GBCONSUMIDOR</t>
  </si>
  <si>
    <t>Móvel</t>
  </si>
  <si>
    <t>Contrate o plano Claro controle 25GB - Oferta Exclusiva</t>
  </si>
  <si>
    <t>no débito automático</t>
  </si>
  <si>
    <t>Apps ilimitados para você</t>
  </si>
  <si>
    <t>apps_planos_5apps.png</t>
  </si>
  <si>
    <t>plans</t>
  </si>
  <si>
    <t>59,90</t>
  </si>
  <si>
    <t>claro_controle_25gb</t>
  </si>
  <si>
    <t>https://planoscelular.claro.com.br/claro/pt/offer-plan/externalUri?offerPlanId=22285&amp;paymentMethod=debitcard&amp;loyalty=true&amp;invoiceType=DIGITAL&amp;targetCampaign=migra&amp;processType=MIGRATE&amp;utm_source=minhaclaro-deckvendas_app&amp;utm_medium=controle-clientepre-oferta&amp;utm_campaign=gatilhomudecontrole25gb_app</t>
  </si>
  <si>
    <t>https://planoscelular.claro.com.br/claro/pt/offer-plan/externalUri?offerPlanId=22285&amp;paymentMethod=debitcard&amp;loyalty=true&amp;invoiceType=DIGITAL&amp;targetCampaign=migra&amp;processType=MIGRATE&amp;utm_source=minhaclaro-deckvendas_web&amp;utm_medium=controle-clientepre-oferta&amp;utm_campaign=gatilhomudecontrole25gb_web</t>
  </si>
  <si>
    <t>https://planoscelular.claro.com.br/claro/pt/offer-plan/externalUri?offerPlanId=22265&amp;coupon=d1470da5f09a01518437d96a42e8622ef56f9cdabde722930f045a1b2078a618&amp;msisdn=msisdn&amp;targetCampaign=migra&amp;paymentMethod=debitcard&amp;loyalty=true&amp;invoiceType=DIGITAL&amp;processType=MIGRATE&amp;utm_source=minhaclaro-deckvendas_app&amp;utm_medium=controle-clientepre-oferta&amp;utm_campaign=gatilhomudecontrole30gb</t>
  </si>
  <si>
    <t>STATUS</t>
  </si>
  <si>
    <t>eb43c663-255e-4b52-b01f-ea522ef97eac</t>
  </si>
  <si>
    <t>false</t>
  </si>
  <si>
    <t>CTRLPOSBF</t>
  </si>
  <si>
    <t>Contrate o plano Claro Pós 100GB - Oferta Exclusiva</t>
  </si>
  <si>
    <t>109,90</t>
  </si>
  <si>
    <t>CONTROLE</t>
  </si>
  <si>
    <t>claro_pos_100gb</t>
  </si>
  <si>
    <t>https://planoscelular.claro.com.br/claro/pt/offer-plan/externalUri?offerPlanId=22382&amp;coupon=0eb99cf99f9dae612a0111d930483b79&amp;msisdn=msisdn&amp;targetCampaign=migra&amp;paymentMethod=debitcard&amp;loyalty=true&amp;invoiceType=DIGITAL&amp;processType=MIGRATE&amp;utm_source=minhaclaro-deckvendas_app&amp;utm_medium=controle-clientepre-oferta&amp;utm_campaign=gatilhomudecontrole100gb_bf</t>
  </si>
  <si>
    <t>https://planoscelular.claro.com.br/claro/pt/offer-plan/externalUri?offerPlanId=22382&amp;coupon=0eb99cf99f9dae612a0111d930483b79&amp;msisdn=msisdn&amp;targetCampaign=migra&amp;paymentMethod=debitcard&amp;loyalty=true&amp;invoiceType=DIGITAL&amp;processType=MIGRATE&amp;utm_source=minhaclaro-deckvendas_web&amp;utm_medium=controle-clientepre-oferta&amp;utm_campaign=gatilhomudecontrole100gb_bf</t>
  </si>
  <si>
    <t>2072f8cc-c36a-424b-b324-8858d997fc9b</t>
  </si>
  <si>
    <t>AMX147819</t>
  </si>
  <si>
    <t>Contrate o plano Claro Pós 50GB - Oferta Exclusiva</t>
  </si>
  <si>
    <t>apps_planos_6apps.png</t>
  </si>
  <si>
    <t>99,90</t>
  </si>
  <si>
    <t>72,43</t>
  </si>
  <si>
    <t>claro_pos_50gb</t>
  </si>
  <si>
    <t>https://planoscelular.claro.com.br/claro/pt/offer-plan/externalUri?offerPlanId=22382&amp;coupon=51c9f3bbefda4a4fa7be62f9a041b38a&amp;msisdn=msisdn&amp;targetCampaign=migra&amp;paymentMethod=debitcard&amp;loyalty=true&amp;invoiceType=DIGITAL&amp;processType=MIGRATE&amp;utm_source=minhaclaro-deckvendas_app&amp;utm_medium=pos-clientecontrole-oferta&amp;utm_campaign=gatilhomudepos50gb</t>
  </si>
  <si>
    <t>https://planoscelular.claro.com.br/claro/pt/offer-plan/externalUri?offerPlanId=22382&amp;coupon=51c9f3bbefda4a4fa7be62f9a041b38a&amp;msisdn=msisdn&amp;targetCampaign=migra&amp;paymentMethod=debitcard&amp;loyalty=true&amp;invoiceType=DIGITAL&amp;processType=MIGRATE&amp;utm_source=minhaclaro-deckvendas_web&amp;utm_medium=pos-clientecontrole-oferta&amp;utm_campaign=gatilhomudepos50gb</t>
  </si>
  <si>
    <t>a8cc6a6e-9634-4916-9c8e-ff158db319f5</t>
  </si>
  <si>
    <t>CTRLCTRL</t>
  </si>
  <si>
    <t>Contrate o plano Claro Controle 30GB - Oferta Imperdível!</t>
  </si>
  <si>
    <t>79,90</t>
  </si>
  <si>
    <t>claro_controle_30gb</t>
  </si>
  <si>
    <t>https://planoscelular.claro.com.br/claro/pt/offer-plan/externalUri?offerPlanId=22287&amp;coupon=3c4083ca3b815a66050a6482cfde7fef242b3c98e1eec5fd188ab17e562d0f3e&amp;msisdn=msisdn&amp;targetCampaign=migra&amp;paymentMethod=debitcard&amp;loyalty=true&amp;invoiceType=DIGITAL&amp;processType=EXCHANGE&amp;utm_source=minhaclaro-deckvendas_app&amp;utm_medium=controle-clientepre-oferta&amp;utm_campaign=gatilhomudecontrole30gb</t>
  </si>
  <si>
    <t>https://planoscelular.claro.com.br/claro/pt/offer-plan/externalUri?offerPlanId=22287&amp;coupon=3c4083ca3b815a66050a6482cfde7fef242b3c98e1eec5fd188ab17e562d0f3e&amp;msisdn=msisdn&amp;targetCampaign=migra&amp;paymentMethod=debitcard&amp;loyalty=true&amp;invoiceType=DIGITAL&amp;processType=EXCHANGE&amp;utm_source=minhaclaro-deckvendas_web&amp;utm_medium=controle-clientepre-oferta&amp;utm_campaign=gatilhomudecontrole30gb</t>
  </si>
  <si>
    <t>44d27da7-06a9-4aff-b20e-b1cc22d33a3f</t>
  </si>
  <si>
    <t>CTRL19GB</t>
  </si>
  <si>
    <t>Contrate o plano Claro controle 19GB - Oferta Exclusiva</t>
  </si>
  <si>
    <t>29,90</t>
  </si>
  <si>
    <t>claro_controle_19gb</t>
  </si>
  <si>
    <t>https://planoscelular.claro.com.br/claro/pt/offer-plan/externalUri?offerPlanId=22243&amp;coupon=58a6d1a649d905b245e04c073374b0ab2b92a36da9f0070651ed982e59fd8f1b&amp;msisdn=msisdn&amp;targetCampaign=migra&amp;paymentMethod=ticket&amp;loyalty=true&amp;processType=MIGRATE&amp;utm_source=minhaclaro-deckvendas_app&amp;utm_medium=controle-clientepre-oferta&amp;utm_campaign=gatilhomudecontrole19gb</t>
  </si>
  <si>
    <t>https://planoscelular.claro.com.br/claro/pt/offer-plan/externalUri?offerPlanId=22243&amp;coupon=58a6d1a649d905b245e04c073374b0ab2b92a36da9f0070651ed982e59fd8f1b&amp;msisdn=msisdn&amp;targetCampaign=migra&amp;paymentMethod=ticket&amp;loyalty=true&amp;processType=MIGRATE&amp;utm_source=minhaclaro-deckvendas_web&amp;utm_medium=controle-clientepre-oferta&amp;utm_campaign=gatilhomudecontrole19gb</t>
  </si>
  <si>
    <t>134ea015-efd4-4742-861f-31d8706f827e</t>
  </si>
  <si>
    <t>AMX144421</t>
  </si>
  <si>
    <t>Contrate o plano Claro Controle 8GB - Oferta Exclusiva</t>
  </si>
  <si>
    <t>apps_planos_2apps.png</t>
  </si>
  <si>
    <t>54,90</t>
  </si>
  <si>
    <t>mailing</t>
  </si>
  <si>
    <t>claro_controle_8gb</t>
  </si>
  <si>
    <t>https://planoscelular.claro.com.br/claro/pt/offer-plan/externalUri?offerPlanId=22243&amp;coupon=2113f24e6fee9dbe8dda4f31aa396f25e7f15793a8ac055b4470e0c1931c603d&amp;msisdn=msisdn&amp;targetCampaign=migra&amp;paymentMethod=ticket&amp;loyalty=true&amp;processType=MIGRATE&amp;utm_source=minhaclaro-deckvendas_app&amp;utm_medium=controle-clientepre-oferta&amp;utm_campaign=gatilhomudecontrole8gb</t>
  </si>
  <si>
    <t>https://planoscelular.claro.com.br/claro/pt/offer-plan/externalUri?offerPlanId=22243&amp;coupon=2113f24e6fee9dbe8dda4f31aa396f25e7f15793a8ac055b4470e0c1931c603d&amp;msisdn=msisdn&amp;targetCampaign=migra&amp;paymentMethod=ticket&amp;loyalty=true&amp;processType=MIGRATE&amp;utm_source=minhaclaro-deckvendas_web&amp;utm_medium=controle-clientepre-oferta&amp;utm_campaign=gatilhomudecontrole8gb</t>
  </si>
  <si>
    <t>496ae6e0-d2d4-4713-afde-894ba94c0c1f</t>
  </si>
  <si>
    <t>AMX144422</t>
  </si>
  <si>
    <t>Contrate o plano Claro Controle 10GB - Oferta Exclusiva</t>
  </si>
  <si>
    <t>34,90</t>
  </si>
  <si>
    <t>claro_controle_10gb</t>
  </si>
  <si>
    <t>https://planoscelular.claro.com.br/claro/pt/offer-plan/externalUri?offerPlanId=22283&amp;coupon=e267f245f651bb456af845d18518903bac923fd52256cdc5db9d00949181f796&amp;msisdn=msisdn&amp;targetCampaign=migra&amp;paymentMethod=debitcard&amp;loyalty=true&amp;invoiceType=DIGITAL&amp;processType=MIGRATE&amp;utm_source=minhaclaro-deckvendas_app&amp;utm_medium=controle-clientepre-oferta&amp;utm_campaign=gatilhomudecontrole10gb</t>
  </si>
  <si>
    <t>https://planoscelular.claro.com.br/claro/pt/offer-plan/externalUri?offerPlanId=22283&amp;coupon=e267f245f651bb456af845d18518903bac923fd52256cdc5db9d00949181f796&amp;msisdn=msisdn&amp;targetCampaign=migra&amp;paymentMethod=debitcard&amp;loyalty=true&amp;invoiceType=DIGITAL&amp;processType=MIGRATE&amp;utm_source=minhaclaro-deckvendas_web&amp;utm_medium=controle-clientepre-oferta&amp;utm_campaign=gatilhomudecontrole10gb</t>
  </si>
  <si>
    <t>8b1a7f47-3ca9-41f4-b4f7-4bf47653ee0d</t>
  </si>
  <si>
    <t>CTRL25GB</t>
  </si>
  <si>
    <t>49,90</t>
  </si>
  <si>
    <t>https://planoscelular.claro.com.br/claro/pt/offer-plan/externalUri?offerPlanId=22285&amp;coupon=5748c1c04a65e406454a446912c760480d7e808794b3d5f6ca3cadbbc17ab833&amp;msisdn=msisdn&amp;targetCampaign=migra&amp;paymentMethod=debitcard&amp;loyalty=true&amp;invoiceType=DIGITAL&amp;processType=MIGRATE&amp;utm_source=minhaclaro-deckvendas_app&amp;utm_medium=controle-clientepre-oferta&amp;utm_campaign=gatilhomudecontrole25gb</t>
  </si>
  <si>
    <t>https://planoscelular.claro.com.br/claro/pt/offer-plan/externalUri?offerPlanId=22285&amp;coupon=5748c1c04a65e406454a446912c760480d7e808794b3d5f6ca3cadbbc17ab833&amp;msisdn=msisdn&amp;targetCampaign=migra&amp;paymentMethod=debitcard&amp;loyalty=true&amp;invoiceType=DIGITAL&amp;processType=MIGRATE&amp;utm_source=minhaclaro-deckvendas_web&amp;utm_medium=controle-clientepre-oferta&amp;utm_campaign=gatilhomudecontrole25gb</t>
  </si>
  <si>
    <t>42e05074-ba68-4ca9-8add-c81606440ded</t>
  </si>
  <si>
    <t>AMX144423</t>
  </si>
  <si>
    <t>Contrate o plano Claro Controle 20GB - Oferta Exclusiva</t>
  </si>
  <si>
    <t>claro_controle_20gb</t>
  </si>
  <si>
    <t>https://planoscelular.claro.com.br/claro/pt/offer-plan/externalUri?offerPlanId=22285&amp;coupon=b0faa2bc06d9836abf066270adfe25308348858cfe6301c3a36bb6a12eff728b&amp;msisdn=msisdn&amp;targetCampaign=migra&amp;paymentMethod=debitcard&amp;loyalty=true&amp;invoiceType=DIGITAL&amp;processType=MIGRATE&amp;utm_source=minhaclaro-deckvendas_app&amp;utm_medium=controle-clientepre-oferta&amp;utm_campaign=gatilhomudecontrole20gb</t>
  </si>
  <si>
    <t>https://planoscelular.claro.com.br/claro/pt/offer-plan/externalUri?offerPlanId=22285&amp;coupon=b0faa2bc06d9836abf066270adfe25308348858cfe6301c3a36bb6a12eff728b&amp;msisdn=msisdn&amp;targetCampaign=migra&amp;paymentMethod=debitcard&amp;loyalty=true&amp;invoiceType=DIGITAL&amp;processType=MIGRATE&amp;utm_source=minhaclaro-deckvendas_web&amp;utm_medium=controle-clientepre-oferta&amp;utm_campaign=gatilhomudecontrole20gb</t>
  </si>
  <si>
    <t>54c6879b-76f6-4faf-9750-060b6203e32f</t>
  </si>
  <si>
    <t>AMX146091</t>
  </si>
  <si>
    <t>Contrate o plano Claro Controle 14GB - Oferta Exclusiva</t>
  </si>
  <si>
    <t>no boleto</t>
  </si>
  <si>
    <t>claro_controle_14gb</t>
  </si>
  <si>
    <t>https://planoscelular.claro.com.br/claro/pt/offer-plan/externalUri?offerPlanId=22243&amp;coupon=15acb1b11e7741845db0f420e5f10e8a3ae265b2820e2a74d0bab90f27811ff7&amp;msisdn=msisdn&amp;targetCampaign=migra&amp;paymentMethod=ticket&amp;loyalty=true&amp;processType=MIGRATE&amp;utm_source=minhaclaro-deckvendas_app&amp;utm_medium=controle-clientepre-oferta&amp;utm_campaign=gatilhomudecontrole14gb</t>
  </si>
  <si>
    <t>https://planoscelular.claro.com.br/claro/pt/offer-plan/externalUri?offerPlanId=22243&amp;coupon=15acb1b11e7741845db0f420e5f10e8a3ae265b2820e2a74d0bab90f27811ff7&amp;msisdn=msisdn&amp;targetCampaign=migra&amp;paymentMethod=ticket&amp;loyalty=true&amp;processType=MIGRATE&amp;utm_source=minhaclaro-deckvendas_site&amp;utm_medium=controle-clientepre-oferta&amp;utm_campaign=gatilhomudecontrole14gb</t>
  </si>
  <si>
    <t>0e3bd0c8-2734-45d4-a349-2b2e9f55714b</t>
  </si>
  <si>
    <t>PRECTRLBF</t>
  </si>
  <si>
    <t>Contrate o plano Claro Controle 23GB - Oferta Exclusiva</t>
  </si>
  <si>
    <t>claro_controle_23gb</t>
  </si>
  <si>
    <t>https://planoscelular.claro.com.br/claro/pt/offer-plan/externalUri?offerPlanId=22283&amp;coupon=03c634c0f44724eb0b9f46d29f35f66de7e159781e129de0fe0354d2d8fb812c&amp;msisdn=msisdn&amp;targetCampaign=migra&amp;paymentMethod=debitcard&amp;loyalty=true&amp;invoiceType=DIGITAL&amp;processType=MIGRATE&amp;utm_source=minhaclaro-deckvendas_app&amp;utm_medium=controle-clientepre-oferta&amp;utm_campaign=gatilhomudecontrole23gb_bf</t>
  </si>
  <si>
    <t>https://planoscelular.claro.com.br/claro/pt/offer-plan/externalUri?offerPlanId=22283&amp;coupon=03c634c0f44724eb0b9f46d29f35f66de7e159781e129de0fe0354d2d8fb812c&amp;msisdn=msisdn&amp;targetCampaign=migra&amp;paymentMethod=debitcard&amp;loyalty=true&amp;invoiceType=DIGITAL&amp;processType=MIGRATE&amp;utm_source=minhaclaro-deckvendas_web&amp;utm_medium=controle-clientepre-oferta&amp;utm_campaign=gatilhomudecontrole23gb_bf</t>
  </si>
  <si>
    <t>c3b38f5e-3df0-43aa-8b90-c98e51e7d428</t>
  </si>
  <si>
    <t>POS40GB</t>
  </si>
  <si>
    <t>Contrate o plano Claro pós 40GB - Oferta Relâmpago</t>
  </si>
  <si>
    <t>claro_pós_40gb</t>
  </si>
  <si>
    <t>https://planoscelular.claro.com.br/claro/pt/offer-plan/externalUri?offerPlanId=20963&amp;coupon=7dc0776ecc4c2e8c214162fd696cf2ae&amp;msisdn=msisdn&amp;targetCampaign=migra&amp;paymentMethod=debitcard&amp;loyalty=true&amp;invoiceType=DIGITAL&amp;utm_source=minhaclaro-deckvendas_app&amp;utm_medium=minhaclaro&amp;utm_campaign=novoecomm_migre40gb</t>
  </si>
  <si>
    <t>https://planoscelular.claro.com.br/claro/pt/offer-plan/externalUri?offerPlanId=20963&amp;coupon=7dc0776ecc4c2e8c214162fd696cf2ae&amp;msisdn=msisdn&amp;targetCampaign=migra&amp;paymentMethod=debitcard&amp;loyalty=true&amp;invoiceType=DIGITAL&amp;utm_source=minhaclaro-deckvendas_web&amp;utm_medium=minhaclaro&amp;utm_campaign=novoecomm_migre40gb</t>
  </si>
  <si>
    <t>f1fba103-9245-4880-97bb-3eb93b99943d</t>
  </si>
  <si>
    <t>AMX131728</t>
  </si>
  <si>
    <t>https://planoscelular.claro.com.br/claro/pt/offer-plan/externalUri?offerPlanId=22243&amp;coupon=15acb1b11e7741845db0f420e5f10e8a3ae265b2820e2a74d0bab90f27811ff7&amp;msisdn=msisdn&amp;targetCampaign=migra&amp;paymentMethod=ticket&amp;loyalty=true&amp;processType=MIGRATE&amp;utm_source=minhaclaro-deckvendas_web&amp;utm_medium=controle-clientepre-oferta&amp;utm_campaign=gatilhomudecontrole14gb</t>
  </si>
  <si>
    <t>4b52b409-5ab0-497e-945c-dcc6e1d95658</t>
  </si>
  <si>
    <t>AMX144424</t>
  </si>
  <si>
    <t>Contrate o plano Claro Controle 30GB - Oferta Exclusiva</t>
  </si>
  <si>
    <t>74,90</t>
  </si>
  <si>
    <t>https://planoscelular.claro.com.br/claro/pt/offer-plan/externalUri?offerPlanId=22265&amp;coupon=d1470da5f09a01518437d96a42e8622ef56f9cdabde722930f045a1b2078a618&amp;msisdn=msisdn&amp;targetCampaign=migra&amp;paymentMethod=debitcard&amp;loyalty=true&amp;invoiceType=DIGITAL&amp;processType=MIGRATE&amp;utm_source=minhaclaro-deckvendas_web&amp;utm_medium=controle-clientepre-oferta&amp;utm_campaign=gatilhomudecontrole30gb</t>
  </si>
  <si>
    <t>961a5c3a-9b8e-487a-85ec-7389d9734d8a</t>
  </si>
  <si>
    <t>125MEGABL</t>
  </si>
  <si>
    <t>Internet Fixa</t>
  </si>
  <si>
    <t>125 Mega - Oferta Exclusiva</t>
  </si>
  <si>
    <t>Incluso:</t>
  </si>
  <si>
    <t>125mega.png</t>
  </si>
  <si>
    <t>69,90</t>
  </si>
  <si>
    <t>banda_larga_125_mega</t>
  </si>
  <si>
    <t>https://planos.claro.com.br/checkout/dados-pessoais?affiliateId=r1zJOII0j&amp;internetId=983&amp;utm_source=mcm&amp;utm_medium=carrossel-ofertasexcs&amp;utm_campaign=mcm-carrossel-ofertasexc</t>
  </si>
  <si>
    <t>0a3e2277-d226-40a8-a3bd-94f164608ffc</t>
  </si>
  <si>
    <t>350MEGABL</t>
  </si>
  <si>
    <t>350 Mega - Oferta Exclusiva</t>
  </si>
  <si>
    <t>Acesso aos apps de conteúdo</t>
  </si>
  <si>
    <t>350mega.png</t>
  </si>
  <si>
    <t>89,90</t>
  </si>
  <si>
    <t>banda_larga_350_mega</t>
  </si>
  <si>
    <t>https://planos.claro.com.br/checkout/dados-pessoais?affiliateId=r1zJOII0j&amp;internetId=902&amp;utm_source=mcm&amp;utm_medium=carrossel-ofertasexcs&amp;utm_campaign=mcm-carrossel-ofertasexc</t>
  </si>
  <si>
    <t>b0e75967-c712-4e51-a261-ea26612bcaa8</t>
  </si>
  <si>
    <t>500MEGABL</t>
  </si>
  <si>
    <t>500 Mega - Oferta Exclusiva</t>
  </si>
  <si>
    <t>500mega.png</t>
  </si>
  <si>
    <t>139,90</t>
  </si>
  <si>
    <t>banda_larga_500_mega</t>
  </si>
  <si>
    <t>MOVELNEWLAYOUT</t>
  </si>
  <si>
    <t>MÓVEL</t>
  </si>
  <si>
    <t>Contrate o plano Claro Controle 25GB com oferta exclusiva</t>
  </si>
  <si>
    <t>Apps para navegar ilimitado</t>
  </si>
  <si>
    <t>icones25gb.png</t>
  </si>
  <si>
    <t>61,90</t>
  </si>
  <si>
    <t>https://planoscelular.claro.com.br/claro/pt/offer-plan/externalUri?offerPlanId=22382&amp;coupon=9a004c4fc168fd96fda67824f1299d7f&amp;msisdn=msisdn&amp;targetCampaign=migra&amp;paymentMethod=debitcard&amp;loyalty=true&amp;invoiceType=DIGITAL&amp;processType=MIGRATE&amp;utm_source=minhaclaro-deckvendas_app&amp;utm_medium=controle-clientepre-oferta&amp;utm_campaign=gatilhomudecontrole25gb</t>
  </si>
  <si>
    <t>https://planoscelular.claro.com.br/claro/pt/offer-plan/externalUri?offerPlanId=22382&amp;coupon=9a004c4fc168fd96fda67824f1299d7f&amp;msisdn=msisdn&amp;targetCampaign=migra&amp;paymentMethod=debitcard&amp;loyalty=true&amp;invoiceType=DIGITAL&amp;processType=MIGRATE&amp;utm_source=minhaclaro-deckvendas_web&amp;utm_medium=controle-clientepre-oferta&amp;utm_campaign=gatilhomudecontrole25gb</t>
  </si>
  <si>
    <t>SMARTPHONE</t>
  </si>
  <si>
    <t>SMARTPHONES</t>
  </si>
  <si>
    <t>Compre o Motorola Moto G62 5G com oferta exclusiva</t>
  </si>
  <si>
    <t>no plano Pós 100GB</t>
  </si>
  <si>
    <t>motog625g128.png</t>
  </si>
  <si>
    <t>smartphones</t>
  </si>
  <si>
    <t>1.989,00</t>
  </si>
  <si>
    <t>1.479,90</t>
  </si>
  <si>
    <t>moto_g62_5g</t>
  </si>
  <si>
    <t>ANTIGOMOVEL</t>
  </si>
  <si>
    <t>Contrate o plano Claro Controle 15GB - Oferta Exclusiva</t>
  </si>
  <si>
    <t>claro_controle_15gb</t>
  </si>
  <si>
    <t>https://planoscelular.claro.com.br/claro/pt/offer-plan/externalUri?offerPlanId=22283&amp;coupon=8489103a6bec293df353342c90d365cd8b51d918beacf757ee44a5f5e69a4a0a&amp;msisdn=msisdn&amp;targetCampaign=migra&amp;paymentMethod=debitcard&amp;loyalty=true&amp;invoiceType=DIGITAL&amp;processType=MIGRATE&amp;utm_source=minhaclaro-deckvendas_app&amp;utm_medium=controle-clientepre-oferta&amp;utm_campaign=gatilhomudecontrole15gb</t>
  </si>
  <si>
    <t>https://planoscelular.claro.com.br/claro/pt/offer-plan/externalUri?offerPlanId=22283&amp;coupon=8489103a6bec293df353342c90d365cd8b51d918beacf757ee44a5f5e69a4a0a&amp;msisdn=msisdn&amp;targetCampaign=migra&amp;paymentMethod=debitcard&amp;loyalty=true&amp;invoiceType=DIGITAL&amp;processType=MIGRATE&amp;utm_source=minhaclaro-deckvendas_web&amp;utm_medium=controle-clientepre-oferta&amp;utm_campaign=gatilhomudecontrole15gb</t>
  </si>
  <si>
    <t>Controle 10GB</t>
  </si>
  <si>
    <t>Controle40GB</t>
  </si>
  <si>
    <t>Contrate o plano Claro Controle 40GB - Oferta Exclusiva</t>
  </si>
  <si>
    <t>claro_controle_40gb</t>
  </si>
  <si>
    <t>Controle 14GB</t>
  </si>
  <si>
    <t>Migração de Planos Controle Pós</t>
  </si>
  <si>
    <t>fffa41d2-41cc-4881-8a8c-d6693193910a</t>
  </si>
  <si>
    <t>AMX139216</t>
  </si>
  <si>
    <t>100,00</t>
  </si>
  <si>
    <t>45,00</t>
  </si>
  <si>
    <t>64,90</t>
  </si>
  <si>
    <t>f19315c6-129d-11ed-861d-0242ac120002</t>
  </si>
  <si>
    <t>AMX131692</t>
  </si>
  <si>
    <t>Migração Controle Pós</t>
  </si>
  <si>
    <t>Contrate o plano Claro Pós 20GB - Oferta Relâmpago</t>
  </si>
  <si>
    <t>claro_pós_20gb</t>
  </si>
  <si>
    <t xml:space="preserve"> "dtVigenciaIni": "</t>
  </si>
  <si>
    <t xml:space="preserve"> "dtVigenciaFim": "</t>
  </si>
  <si>
    <t xml:space="preserve"> "metodo": "</t>
  </si>
  <si>
    <t xml:space="preserve"> "pathImagemS3": "{\"default\":\"sales_deck/</t>
  </si>
  <si>
    <t>\"}",</t>
  </si>
  <si>
    <t>salesdeck</t>
  </si>
  <si>
    <t>}"</t>
  </si>
  <si>
    <t xml:space="preserve">  \"DESCONTO_PERCENTUAL\": \"</t>
  </si>
  <si>
    <t xml:space="preserve"> \"VALOR_PLANO_CHEIO\": \"</t>
  </si>
  <si>
    <t xml:space="preserve"> \"VALOR_PLANO_DESCONTO\": \"</t>
  </si>
  <si>
    <t xml:space="preserve"> \"template\": \"</t>
  </si>
  <si>
    <t xml:space="preserve"> \"TAG\": \"oferta_exclusiva:</t>
  </si>
  <si>
    <t>Controle 30GB</t>
  </si>
  <si>
    <t>Controle 100GB</t>
  </si>
  <si>
    <t>Controle 50GB</t>
  </si>
  <si>
    <t>Controle 19GB</t>
  </si>
  <si>
    <t>Controle 15GB</t>
  </si>
  <si>
    <t>https://planoscelular.claro.com.br/claro/pt/offer-plan/externalUri?offerPlanId=22283&amp;coupon=87a9d19a41a024ec0bd50f29e7f375ca2b92a36da9f0070651ed982e59fd8f1b&amp;msisdn=msisdn&amp;targetCampaign=migra&amp;paymentMethod=debitcard&amp;loyalty=true&amp;invoiceType=DIGITAL&amp;processType=MIGRATE&amp;utm_source=minhaclaro-deckvendas_app&amp;utm_medium=plpcontrole-clientepre&amp;utm_campaign=gatilhomudeparacontrole_15GB</t>
  </si>
  <si>
    <t>https://planoscelular.claro.com.br/claro/pt/offer-plan/externalUri?offerPlanId=22283&amp;coupon=87a9d19a41a024ec0bd50f29e7f375ca2b92a36da9f0070651ed982e59fd8f1b&amp;msisdn=msisdn&amp;targetCampaign=migra&amp;paymentMethod=debitcard&amp;loyalty=true&amp;invoiceType=DIGITAL&amp;processType=MIGRATE&amp;utm_source=minhaclaro-deckvendas_web&amp;utm_medium=plpcontrole-clientepre&amp;utm_campaign=gatilhomudeparacontrole_15GB</t>
  </si>
  <si>
    <t>Controle 25GB</t>
  </si>
  <si>
    <t>Controle 23GB</t>
  </si>
  <si>
    <t>CTRL40GB</t>
  </si>
  <si>
    <t>Controle 40GB</t>
  </si>
  <si>
    <t>Contrate o plano Claro controle 40GB - Oferta Exclusiva</t>
  </si>
  <si>
    <t>https://planoscelular.claro.com.br/claro/pt/offer-plan/externalUri?offerPlanId=22287&amp;coupon=5ec1e92bf50ddc35ba62bb5173365aaffcf7c45cf5efd20428619df2ea8bf8b7&amp;msisdn=msisdn&amp;targetCampaign=migra&amp;paymentMethod=debitcard&amp;loyalty=true&amp;invoiceType=DIGITAL&amp;processType=MIGRATE&amp;utm_source=minhaclaro-deckvendas_app&amp;utm_medium=controle-clientepre-oferta&amp;utm_campaign=gatilhomudecontrole40gb_bf</t>
  </si>
  <si>
    <t>https://planoscelular.claro.com.br/claro/pt/offer-plan/externalUri?offerPlanId=22287&amp;coupon=5ec1e92bf50ddc35ba62bb5173365aaffcf7c45cf5efd20428619df2ea8bf8b7&amp;msisdn=msisdn&amp;targetCampaign=migra&amp;paymentMethod=debitcard&amp;loyalty=true&amp;invoiceType=DIGITAL&amp;processType=MIGRATE&amp;utm_source=minhaclaro-deckvendas_web&amp;utm_medium=controle-clientepre-oferta&amp;utm_campaign=gatilhomudecontrole40gb_bf</t>
  </si>
  <si>
    <t xml:space="preserve"> "idcampanha": "54c6879b-76f6-4faf-9750-060b6203e32f",</t>
  </si>
  <si>
    <t xml:space="preserve"> "ativo": true,</t>
  </si>
  <si>
    <t xml:space="preserve"> "canal": "",</t>
  </si>
  <si>
    <t xml:space="preserve"> "codCampanha": "AMX146091",</t>
  </si>
  <si>
    <t xml:space="preserve"> "defaultUrlRedirect": "{ \"default\": \"https://planoscelular.claro.com.br/claro/pt/offer-plan/externalUri?offerPlanId=22243&amp;coupon=15acb1b11e7741845db0f420e5f10e8a3ae265b2820e2a74d0bab90f27811ff7&amp;msisdn=msisdn&amp;targetCampaign=migra&amp;paymentMethod=ticket&amp;loyalty=true&amp;processType=MIGRATE&amp;utm_source=minhaclaro-deckvendas_app&amp;utm_medium=controle-clientepre-oferta&amp;utm_campaign=gatilhomudecontrole14gb\",\n\"MCAP\": \"https://planoscelular.claro.com.br/claro/pt/offer-plan/externalUri?offerPlanId=22243&amp;coupon=15acb1b11e7741845db0f420e5f10e8a3ae265b2820e2a74d0bab90f27811ff7&amp;msisdn=msisdn&amp;targetCampaign=migra&amp;paymentMethod=ticket&amp;loyalty=true&amp;processType=MIGRATE&amp;utm_source=minhaclaro-deckvendas_app&amp;utm_medium=controle-clientepre-oferta&amp;utm_campaign=gatilhomudecontrole14gb\",\n\"MCLA\": \"https://planoscelular.claro.com.br/claro/pt/offer-plan/externalUri?offerPlanId=22243&amp;coupon=15acb1b11e7741845db0f420e5f10e8a3ae265b2820e2a74d0bab90f27811ff7&amp;msisdn=msisdn&amp;targetCampaign=migra&amp;paymentMethod=ticket&amp;loyalty=true&amp;processType=MIGRATE&amp;utm_source=minhaclaro-deckvendas_web&amp;utm_medium=controle-clientepre-oferta&amp;utm_campaign=gatilhomudecontrole14gb\" }",</t>
  </si>
  <si>
    <t xml:space="preserve"> "descricao": "",</t>
  </si>
  <si>
    <t xml:space="preserve"> "dtVigenciaFim": "20221031",</t>
  </si>
  <si>
    <t xml:space="preserve"> "dtVigenciaIni": "20220729",</t>
  </si>
  <si>
    <t xml:space="preserve"> "emailResponsavel": "",</t>
  </si>
  <si>
    <t xml:space="preserve"> "lambdaMensagens": "",</t>
  </si>
  <si>
    <t xml:space="preserve"> "metodo": "mailing",</t>
  </si>
  <si>
    <t xml:space="preserve"> "nome": "Controle 14GB",</t>
  </si>
  <si>
    <t xml:space="preserve"> "nomeIcone": "",</t>
  </si>
  <si>
    <t xml:space="preserve"> "nomeLambda": "",</t>
  </si>
  <si>
    <t xml:space="preserve"> "pathImagemS3": "",</t>
  </si>
  <si>
    <t xml:space="preserve"> "prioridade": 1,</t>
  </si>
  <si>
    <t xml:space="preserve"> "textoPrincipal": "Contrate o plano Claro Controle 14GB - Oferta Exclusiva",</t>
  </si>
  <si>
    <t xml:space="preserve"> "tipo": "salesdeck"</t>
  </si>
  <si>
    <t>}</t>
  </si>
  <si>
    <t>id Ctrl Pos</t>
  </si>
  <si>
    <t>Controle e Pós</t>
  </si>
  <si>
    <t>dbdaea27-1f3f-4446-85d8-11d0a70ca49a</t>
  </si>
  <si>
    <t>03b9f0c2-c55d-4981-8a25-730d70b359d1</t>
  </si>
  <si>
    <t>d1233827-32bd-4502-bbfe-60440e4588a4</t>
  </si>
  <si>
    <t>e18cda3f-8e61-4cd8-8258-58ea6329316f</t>
  </si>
  <si>
    <t>Galaxy A23 5G 128GB</t>
  </si>
  <si>
    <t>2.289,00</t>
  </si>
  <si>
    <t>1.289,00</t>
  </si>
  <si>
    <t>claro_0_samsung_A23_5G_preto.png</t>
  </si>
  <si>
    <t>https://planoscelular.claro.com.br/claroCampaigns/subcampaign?sku=000000000000018447&amp;campaign=CBA&amp;subCampaign=&amp;paymentMethod=debitcard&amp;loyalty=true&amp;invoiceType=DIGITAL&amp;city=&amp;state=&amp;processType=migrate&amp;offerPlanId=22285&amp;smartphone=true</t>
  </si>
  <si>
    <t>https://planoscelular.claro.com.br/claroCampaigns/subcampaign?sku=000000000000018447&amp;campaign=CBA&amp;subCampaign=&amp;paymentMethod=debitcard&amp;loyalty=true&amp;invoiceType=DIGITAL&amp;city=&amp;state=&amp;processType=migrate&amp;offerPlanId=22382&amp;smartphone=true</t>
  </si>
  <si>
    <t>b646c263-5d4d-46cd-ab8a-389759cbf6cb</t>
  </si>
  <si>
    <t>9d5a3474-cd68-4433-9d3c-464cec581168</t>
  </si>
  <si>
    <t>Galaxy S23 Ultra 128GB</t>
  </si>
  <si>
    <t>9.499,00</t>
  </si>
  <si>
    <t>7.889,00</t>
  </si>
  <si>
    <t>7.689,00</t>
  </si>
  <si>
    <t>claro_0_samsung_s23_Ultra_5G_preto-selo-compre-ganhe-brinde-buds2pro.png</t>
  </si>
  <si>
    <t>https://planoscelular.claro.com.br/claroCampaigns/subcampaign?sku=000000000000018503&amp;campaign=CBA&amp;subCampaign=&amp;paymentMethod=debitcard&amp;loyalty=true&amp;invoiceType=DIGITAL&amp;city=&amp;state=&amp;processType=migrate&amp;offerPlanId=22285&amp;smartphone=true</t>
  </si>
  <si>
    <t>https://planoscelular.claro.com.br/claroCampaigns/subcampaign?sku=000000000000018503&amp;campaign=CBA&amp;subCampaign=&amp;paymentMethod=debitcard&amp;loyalty=true&amp;invoiceType=DIGITAL&amp;city=&amp;state=&amp;processType=migrate&amp;offerPlanId=22382&amp;smartphone=true</t>
  </si>
  <si>
    <t>1a41da09-34ac-4748-b5df-69565d533dd1</t>
  </si>
  <si>
    <t>092ddb50-e5bd-4f43-9026-74bd453459de</t>
  </si>
  <si>
    <t>https://planoscelular.claro.com.br/claroCampaigns/subcampaign?sku=000000000000018379&amp;campaign=CBA&amp;subCampaign=S45&amp;paymentMethod=debitcard&amp;loyalty=true&amp;invoiceType=DIGITAL&amp;city=&amp;state=&amp;processType=migrate&amp;offerPlanId=22285&amp;smartphone=true</t>
  </si>
  <si>
    <t>https://planoscelular.claro.com.br/claroCampaigns/subcampaign?sku=000000000000018379&amp;campaign=CBA&amp;subCampaign=S45&amp;paymentMethod=debitcard&amp;loyalty=true&amp;invoiceType=DIGITAL&amp;city=&amp;state=&amp;processType=migrate&amp;offerPlanId=22382&amp;smartphone=true</t>
  </si>
  <si>
    <t>03c8cdb8-0636-4fe9-9865-711cb374f034</t>
  </si>
  <si>
    <t>33b61798-985f-46f3-9a51-aa63cbc7268a</t>
  </si>
  <si>
    <t>977a1f03-281a-4a9f-aff5-1446baf21f5f</t>
  </si>
  <si>
    <t>8824fe5f-f712-493b-a174-bebad74d6af5</t>
  </si>
  <si>
    <t>b80e8165-17d8-49cc-be07-c48671154ea3</t>
  </si>
  <si>
    <t>67ce9a25-cb50-449c-b187-5ee4fd78f941</t>
  </si>
  <si>
    <t>1.389,00</t>
  </si>
  <si>
    <t>Moto G73 5G 128GB</t>
  </si>
  <si>
    <t>claro_0_motorola_G73_5G_azul.png</t>
  </si>
  <si>
    <t>https://planoscelular.claro.com.br/claroCampaigns/subcampaign?sku=000000000000018528&amp;campaign=CBA&amp;subCampaign=&amp;paymentMethod=debitcard&amp;loyalty=true&amp;invoiceType=DIGITAL&amp;city=&amp;state=&amp;processType=migrate&amp;offerPlanId=22285&amp;smartphone=true</t>
  </si>
  <si>
    <t>https://planoscelular.claro.com.br/claroCampaigns/subcampaign?sku=000000000000018528&amp;campaign=CBA&amp;subCampaign=&amp;paymentMethod=debitcard&amp;loyalty=true&amp;invoiceType=DIGITAL&amp;city=&amp;state=&amp;processType=migrate&amp;offerPlanId=22382&amp;smartphone=true</t>
  </si>
  <si>
    <t>https://planoscelular.claro.com.br/claroCampaigns/subcampaign?sku=000000000000018528&amp;campaign=CBA&amp;subCampaign=&amp;paymentMethod=debitcard&amp;loyalty=true&amp;invoiceType=DIGITAL&amp;city=&amp;state=&amp;processType=migrate&amp;offerPlanId=22375&amp;smartphone=true</t>
  </si>
  <si>
    <t>Galaxy A23 5G 128 GB</t>
  </si>
  <si>
    <t>1.789,00</t>
  </si>
  <si>
    <t>789,00</t>
  </si>
  <si>
    <t>Lançamento</t>
  </si>
  <si>
    <t>https://planoscelular.claro.com.br/claroCampaigns/subcampaign?sku=000000000000018447&amp;campaign=CBA&amp;subCampaign=&amp;paymentMethod=debitcard&amp;loyalty=true&amp;invoiceType=DIGITAL&amp;city=&amp;state=&amp;processType=migrate&amp;offerPlanId=22375&amp;smartphone=true</t>
  </si>
  <si>
    <t>4.389,00</t>
  </si>
  <si>
    <t>3.889,00</t>
  </si>
  <si>
    <t>2.889,00</t>
  </si>
  <si>
    <t>489,00</t>
  </si>
  <si>
    <t>claro_0_motorola_G53_5G_grafite.png</t>
  </si>
  <si>
    <t>super_desconto.png</t>
  </si>
  <si>
    <t>a513f930-61fa-446b-8de0-cf97ade62667</t>
  </si>
  <si>
    <t>7091c387-549e-4b43-a7c1-79a3b668f630</t>
  </si>
  <si>
    <t>9eec9d74-4005-43f0-8b12-2348823e802f</t>
  </si>
  <si>
    <t>MOTOG735G128GB</t>
  </si>
  <si>
    <t>Exclusivo Claro</t>
  </si>
  <si>
    <t>moto_g73_5g_128gb</t>
  </si>
  <si>
    <t>2a17f559-73b6-4cdf-8c64-792e531cc7a0</t>
  </si>
  <si>
    <t>8e38b37a-9306-4dd5-8784-4cbedde65be9</t>
  </si>
  <si>
    <t>944853e3-4dad-4025-b42d-6c7f005a1e38</t>
  </si>
  <si>
    <t>GALAXYA235G128GB</t>
  </si>
  <si>
    <t>1.689,00</t>
  </si>
  <si>
    <t>galaxy_a23_5g_128gb</t>
  </si>
  <si>
    <t>3afd2759-24ac-4a9e-a3ec-c37db5e014f4</t>
  </si>
  <si>
    <t>816bef10-a12f-4f57-8837-7e71a42e0814</t>
  </si>
  <si>
    <t>159ee5a2-490d-4214-89a2-53c59e65e9b8</t>
  </si>
  <si>
    <t>Moto E22 128GB</t>
  </si>
  <si>
    <t>MOTOE22128GB</t>
  </si>
  <si>
    <t>1.189,00</t>
  </si>
  <si>
    <t>689,00</t>
  </si>
  <si>
    <t>claro_0_motorola_E22_128GB_dark_grove.png</t>
  </si>
  <si>
    <t>moto_e22_128gb</t>
  </si>
  <si>
    <t>https://planoscelular.claro.com.br/claroCampaigns/subcampaign?sku=000000000000018538&amp;campaign=CBA&amp;subCampaign=&amp;paymentMethod=debitcard&amp;loyalty=true&amp;invoiceType=DIGITAL&amp;city=&amp;state=&amp;processType=migrate&amp;offerPlanId=22285&amp;smartphone=true</t>
  </si>
  <si>
    <t>https://planoscelular.claro.com.br/claroCampaigns/subcampaign?sku=000000000000018538&amp;campaign=CBA&amp;subCampaign=&amp;paymentMethod=debitcard&amp;loyalty=true&amp;invoiceType=DIGITAL&amp;city=&amp;state=&amp;processType=migrate&amp;offerPlanId=22382&amp;smartphone=true</t>
  </si>
  <si>
    <t>https://planoscelular.claro.com.br/claroCampaigns/subcampaign?sku=000000000000018538&amp;campaign=CBA&amp;subCampaign=&amp;paymentMethod=debitcard&amp;loyalty=true&amp;invoiceType=DIGITAL&amp;city=&amp;state=&amp;processType=migrate&amp;offerPlanId=22375&amp;smartphone=true</t>
  </si>
  <si>
    <t>e3afbc19-c826-418e-9799-ce8c33821265</t>
  </si>
  <si>
    <t>1015c350-a0d6-477d-83b5-97a2188a8407</t>
  </si>
  <si>
    <t>19fbd9bb-cde5-4b97-9aea-0c28575f71da</t>
  </si>
  <si>
    <t>Galaxy S23 Ultra 256GB</t>
  </si>
  <si>
    <t>GALAXYS23ULTRA256GB</t>
  </si>
  <si>
    <t>6.289,00</t>
  </si>
  <si>
    <t>claro_0_samsung_s23_Ultra_5G_preto_selo_brinde_dobro_memoria.png</t>
  </si>
  <si>
    <t>galaxy_s23_ultra_256gb</t>
  </si>
  <si>
    <t>https://planoscelular.claro.com.br/claroCampaigns/subcampaign?sku=000000000000018503&amp;campaign=CBA&amp;subCampaign=&amp;paymentMethod=debitcard&amp;loyalty=true&amp;invoiceType=DIGITAL&amp;city=&amp;state=&amp;processType=migrate&amp;offerPlanId=22375&amp;smartphone=true</t>
  </si>
  <si>
    <t>03646d2b-09ab-4aa8-bc80-936b3fb5a63a</t>
  </si>
  <si>
    <t>72dd7587-119e-4604-9d20-cf7d4a265a8b</t>
  </si>
  <si>
    <t>b4695af8-e676-48ab-bee3-40a1bf7dcd67</t>
  </si>
  <si>
    <t>iPhone 13 256GB</t>
  </si>
  <si>
    <t>IPHONE13256GB</t>
  </si>
  <si>
    <t>6.389,00</t>
  </si>
  <si>
    <t>5.989,00</t>
  </si>
  <si>
    <t>5.889,00</t>
  </si>
  <si>
    <t>claro_0_apple_iphone13_midnight.png</t>
  </si>
  <si>
    <t>iphone_13_256gb</t>
  </si>
  <si>
    <t>https://planoscelular.claro.com.br/claroCampaigns/subcampaign?sku=000000000000018247&amp;campaign=CBA&amp;subCampaign=&amp;paymentMethod=debitcard&amp;loyalty=true&amp;invoiceType=DIGITAL&amp;city=&amp;state=&amp;processType=migrate&amp;offerPlanId=22285&amp;smartphone=true</t>
  </si>
  <si>
    <t>https://planoscelular.claro.com.br/claroCampaigns/subcampaign?sku=000000000000018247&amp;campaign=CBA&amp;subCampaign=&amp;paymentMethod=debitcard&amp;loyalty=true&amp;invoiceType=DIGITAL&amp;city=&amp;state=&amp;processType=migrate&amp;offerPlanId=22382&amp;smartphone=true</t>
  </si>
  <si>
    <t>https://planoscelular.claro.com.br/claroCampaigns/subcampaign?sku=000000000000018247&amp;campaign=CBA&amp;subCampaign=&amp;paymentMethod=debitcard&amp;loyalty=true&amp;invoiceType=DIGITAL&amp;city=&amp;state=&amp;processType=migrate&amp;offerPlanId=22375&amp;smartphone=true</t>
  </si>
  <si>
    <t>TRUE</t>
  </si>
  <si>
    <t>FALSE</t>
  </si>
  <si>
    <t xml:space="preserve"> \"URL_IMG\": \"https://assets.clarobrasil.mobi/ecommerce-config/sales-deck/</t>
  </si>
  <si>
    <t>carrossel_deck_pre</t>
  </si>
  <si>
    <t>CONTROLE E PÓS</t>
  </si>
  <si>
    <t>carrossel_deck_ctrl_pos</t>
  </si>
  <si>
    <t xml:space="preserve">  \"TAG\": \"aparelhos:</t>
  </si>
  <si>
    <t>carrossel_deck_produtos</t>
  </si>
  <si>
    <t xml:space="preserve"> "codCampanha":"TODOS_APARELHOS",</t>
  </si>
  <si>
    <t xml:space="preserve"> "defaultMetaData": "{ \"TAG\": \"aparelhos:ver_todos_os_modelos\", \"TEMPLATE\": \"ver_todos_os_modelos\", \"PRECO_DE\": \"\", \"PRECO_POR\": \"\", \"VALOR_PARCELA\": \"\", \"QTD_PARCELA\": \"\", \"URL_IMG\": \"https://assets.clarobrasil.mobi/ecommerce-config/sales-deck/explore_todos_os_modelos.png\",  \"SELO_ORELHA\": \"\",  \"SELO_TEMPLATE\": \"\",  \"SELO_TEXTO\": \"\",  \"SELO_BRINDE\": \"\"}",</t>
  </si>
  <si>
    <t xml:space="preserve"> "nome": "",</t>
  </si>
  <si>
    <t xml:space="preserve"> "prioridade":10,</t>
  </si>
  <si>
    <t xml:space="preserve"> "tipo": "carrossel_deck_produtos"</t>
  </si>
  <si>
    <t>Carrossel de Acessorios - Deck de Vendas</t>
  </si>
  <si>
    <t>deck_accessories</t>
  </si>
  <si>
    <t xml:space="preserve">  \"TEMPLATE\": \"acessorios\",</t>
  </si>
  <si>
    <t>CARD - TODOS ACESSORIOS</t>
  </si>
  <si>
    <t xml:space="preserve"> "idcampanha":"6ad7f623-58e0-4a0f-b01f-d63c1e822f82",</t>
  </si>
  <si>
    <t xml:space="preserve"> "codCampanha":"TODOS_ACESSORIOS",</t>
  </si>
  <si>
    <t xml:space="preserve"> "defaultMetaData": "{ \"TAG\": \"acessorios:ver_todos_os_modelos\", \"TEMPLATE\": \"ver_todos_os_modelos\", \"PRECO_DE\": \"\", \"PRECO_POR\": \"\", \"VALOR_PARCELA\": \"\", \"QTD_PARCELA\": \"\", \"URL_IMG\": \"https://assets.clarobrasil.mobi/ecommerce-config/sales-deck/explore_todos_os_acessorios.jpg\",  \"SELO_ORELHA\": \"\",  \"SELO_TEMPLATE\": \"\",  \"SELO_TEXTO\": \"\",  \"SELO_BRINDE\": \"\"}",</t>
  </si>
  <si>
    <t xml:space="preserve"> "tipo": "deck_accessories"</t>
  </si>
  <si>
    <t>Prioridade</t>
  </si>
  <si>
    <t>Extensão</t>
  </si>
  <si>
    <t>Redirect</t>
  </si>
  <si>
    <t>Titulo</t>
  </si>
  <si>
    <t>Texto 1</t>
  </si>
  <si>
    <t>Texto 2</t>
  </si>
  <si>
    <t>0b8ae781-24c5-43e5-87f5-d44fc2670ee0</t>
  </si>
  <si>
    <t>Moto G73 5G Ctrl</t>
  </si>
  <si>
    <t>.png</t>
  </si>
  <si>
    <t>externo</t>
  </si>
  <si>
    <t>https://planoscelular.claro.com.br/claroCampaigns/subcampaign?sku=000000000000018528&amp;campaign=CBA&amp;subCampaign=&amp;paymentMethod=debitcard&amp;loyalty=true&amp;invoiceType=DIGITAL&amp;city=&amp;state=&amp;processType=migrate&amp;offerPlanId=22285&amp;text=&amp;smartphone=true&amp;utm_source=minhaclaro-deckvendas_app&amp;utm_medium=banner-cliente_deck&amp;utm_campaign=bannerdecksmartphone</t>
  </si>
  <si>
    <t>https://planoscelular.claro.com.br/claroCampaigns/subcampaign?sku=000000000000018528&amp;campaign=CBA&amp;subCampaign=&amp;paymentMethod=debitcard&amp;loyalty=true&amp;invoiceType=DIGITAL&amp;city=&amp;state=&amp;processType=migrate&amp;offerPlanId=22285&amp;text=&amp;smartphone=true&amp;utm_source=minhaclaro-deckvendas_site&amp;utm_medium=banner-cliente_deck&amp;utm_campaign=bannerdecksmartphone</t>
  </si>
  <si>
    <t>PROD</t>
  </si>
  <si>
    <t>b01a691a-0981-44d9-944c-7c157486c7e1</t>
  </si>
  <si>
    <t>d7cf1011-10c6-4752-ab1d-3761ef6e7caf</t>
  </si>
  <si>
    <t>PRE_PAGO,CONTROLE,CONTROLE_FACIL</t>
  </si>
  <si>
    <t>81068dc2-837d-472e-91ba-731d7fd3ffb8</t>
  </si>
  <si>
    <t>https://planoscelular.claro.com.br/claroCampaigns/subcampaign?sku=000000000000018528&amp;campaign=CBA&amp;subCampaign=&amp;paymentMethod=debitcard&amp;loyalty=true&amp;invoiceType=DIGITAL&amp;city=&amp;state=&amp;processType=migrate&amp;offerPlanId=22375&amp;text=&amp;smartphone=true&amp;utm_source=minhaclaro-deckvendas_app&amp;utm_medium=banner-cliente_deck&amp;utm_campaign=bannerdecksmartphone</t>
  </si>
  <si>
    <t>https://planoscelular.claro.com.br/claroCampaigns/subcampaign?sku=000000000000018528&amp;campaign=CBA&amp;subCampaign=&amp;paymentMethod=debitcard&amp;loyalty=true&amp;invoiceType=DIGITAL&amp;city=&amp;state=&amp;processType=migrate&amp;offerPlanId=22375&amp;text=&amp;smartphone=true&amp;utm_source=minhaclaro-deckvendas_site&amp;utm_medium=banner-cliente_deck&amp;utm_campaign=bannerdecksmartphone</t>
  </si>
  <si>
    <t>c4011a7d-2959-4b3d-8550-44a3db47cc7e</t>
  </si>
  <si>
    <t>BANNER20GBPRE</t>
  </si>
  <si>
    <t>Controle 20GB Pre Pago</t>
  </si>
  <si>
    <t>Controle 20GB Pré Pago</t>
  </si>
  <si>
    <t>banner_deck_de_vendas_web_mcm_pre_verao_cntrl20gb_vendas</t>
  </si>
  <si>
    <t>https://planoscelular.claro.com.br/claro/pt/offer-plan/externalUri?offerPlanId=22285&amp;coupon=b0faa2bc06d9836abf066270adfe25308348858cfe6301c3a36bb6a12eff728b&amp;msisdn=msisdn&amp;targetCampaign=migra&amp;paymentMethod=debitcard&amp;loyalty=true&amp;invoiceType=DIGITAL&amp;processType=MIGRATE&amp;utm_source=minhaclaro-deckvendas_App&amp;utm_medium=banner&amp;utm_campaign=novoecom_BannerDeckApp_20GB</t>
  </si>
  <si>
    <t>9f0975ef-7d58-4ea0-b0f0-329bb69d680d</t>
  </si>
  <si>
    <t>BANDALARGADECK_PRE</t>
  </si>
  <si>
    <t>banda_larga_125mega</t>
  </si>
  <si>
    <t>Banda Larga</t>
  </si>
  <si>
    <t>banner_deck_de_vendas_125_mega</t>
  </si>
  <si>
    <t>https://planos.claro.com.br/checkout/dados-pessoais?affiliateId=r1zJOII0j&amp;tvId=611&amp;internetId=983&amp;utm_source=mcm&amp;utm_medium=banner-sofertas&amp;utm_campaign=mcm-banner-sofertas</t>
  </si>
  <si>
    <t>442a6e3f-1de0-4463-9b5e-f4a5cfc1246b</t>
  </si>
  <si>
    <t>BANDALARGADECK_CONTROLE</t>
  </si>
  <si>
    <t>banda_larga_350mega</t>
  </si>
  <si>
    <t>banner_deck_de_vendas_350_mega</t>
  </si>
  <si>
    <t>https://planos.claro.com.br/checkout/dados-pessoais?affiliateId=r1zJOII0j&amp;tvId=611&amp;internetId=902&amp;utm_source=mcm&amp;utm_medium=banner-sofertas&amp;utm_campaign=mcm-banner-sofertas</t>
  </si>
  <si>
    <t>74dc4f5a-de07-4c52-82dd-70c867a461fc</t>
  </si>
  <si>
    <t>BANDALARGADECK_POS</t>
  </si>
  <si>
    <t>banda_larga_500mega</t>
  </si>
  <si>
    <t>banner_deck_de_vendas_500_mega</t>
  </si>
  <si>
    <t>Moto G73 5G 128GB Pos</t>
  </si>
  <si>
    <t>850f2149-0bbd-4e28-905d-536c598a2b47</t>
  </si>
  <si>
    <t>BANNERMOTOG735GPRECTRL</t>
  </si>
  <si>
    <t>Moto G73 5G 128GB Ctrl Pre</t>
  </si>
  <si>
    <t>banner-lancamento-g73-5g-controle-deck</t>
  </si>
  <si>
    <t>BANNERGALAXYS23POS</t>
  </si>
  <si>
    <t>Pre Venda Galaxy S23</t>
  </si>
  <si>
    <t>Pre Venda - Galaxy S23 Pre Venda</t>
  </si>
  <si>
    <t>banner-pre-venda-familia-s23-deck_v2</t>
  </si>
  <si>
    <t>vitrine</t>
  </si>
  <si>
    <t>Conheça os novos samsung Galaxy</t>
  </si>
  <si>
    <t>Compre o novo galaxy com oferta exclusiva</t>
  </si>
  <si>
    <t>BANNERBF14GBPRE</t>
  </si>
  <si>
    <t>Migracao Pre Controle 14GB</t>
  </si>
  <si>
    <t>migracao_pre_controle_14gb</t>
  </si>
  <si>
    <t>banner-deck-mcm-app-pre-verao-cntrl14gb</t>
  </si>
  <si>
    <t>MetaData</t>
  </si>
  <si>
    <t>URL da IMAGEM</t>
  </si>
  <si>
    <t xml:space="preserve">  \"url_img\": \"https://assets.clarobrasil.mobi/ecommerce-config/sales-deck/</t>
  </si>
  <si>
    <t>EXTENSÃO DA IMAGEM</t>
  </si>
  <si>
    <t xml:space="preserve"> \"ext_img\": \"</t>
  </si>
  <si>
    <t xml:space="preserve"> \"redirect\": \"</t>
  </si>
  <si>
    <t xml:space="preserve"> \"TITULO\": \"</t>
  </si>
  <si>
    <t xml:space="preserve"> \"TEXTO_1\": \"</t>
  </si>
  <si>
    <t xml:space="preserve"> \"TEXTO_2\": \"</t>
  </si>
  <si>
    <t xml:space="preserve"> \"TAG\": \"banner:</t>
  </si>
  <si>
    <t>Padrão</t>
  </si>
  <si>
    <t xml:space="preserve"> "pathImagemS3": "{</t>
  </si>
  <si>
    <t>IMG</t>
  </si>
  <si>
    <t xml:space="preserve"> \"default\": \"sales_deck/</t>
  </si>
  <si>
    <t>Plano ofertado</t>
  </si>
  <si>
    <t>Tipo de Campanha</t>
  </si>
  <si>
    <t>banners_deck</t>
  </si>
  <si>
    <t xml:space="preserve">    'nomeIcone': '',</t>
  </si>
  <si>
    <t xml:space="preserve">    'textoPrincipal': 'migracao_pre_controle_23gb',</t>
  </si>
  <si>
    <t xml:space="preserve">    'nome': 'Migre para Claro Controle'</t>
  </si>
  <si>
    <t>Imagem Background</t>
  </si>
  <si>
    <t>Imagem Icone</t>
  </si>
  <si>
    <t>Icone Mondrian</t>
  </si>
  <si>
    <t>Lambda</t>
  </si>
  <si>
    <t>c9402a11-54ca-490f-bed5-baff131f7710</t>
  </si>
  <si>
    <t>banda_larga</t>
  </si>
  <si>
    <t>Oferta especial para você que já é cliente Claro</t>
  </si>
  <si>
    <t>Assine Claro net virtua de 500 mega por apenas R$ 99,99/mês. Oferta Exclusiva para cliente Claro</t>
  </si>
  <si>
    <t>bg_cards.png</t>
  </si>
  <si>
    <t>wifi.png</t>
  </si>
  <si>
    <t>wifi</t>
  </si>
  <si>
    <t>lambda</t>
  </si>
  <si>
    <t>mcm-backend-prd-ElegibilidadeOferta</t>
  </si>
  <si>
    <t>https://planos.claro.com.br/checkout/dados-pessoais?affiliateId=r1zJOII0j&amp;internetId=1049&amp;utm_source=mcm&amp;utm_medium=banner-card-desk&amp;utm_campaign=mcm-banner-card-desk</t>
  </si>
  <si>
    <t>"nomeLambda": "</t>
  </si>
  <si>
    <t>"nomeIcone":"</t>
  </si>
  <si>
    <t>15870405-43b9-47d2-872a-8c7ae99411f2</t>
  </si>
  <si>
    <t>CLAROFLEXPREDECK</t>
  </si>
  <si>
    <t>claro_flex</t>
  </si>
  <si>
    <t>Claro Flex</t>
  </si>
  <si>
    <t>Plano de celular 100% digital e sem fidelidade</t>
  </si>
  <si>
    <t>Muita internet e apps ilimitados, o plano 100% digital e sem fidelidade.</t>
  </si>
  <si>
    <t>celular.png</t>
  </si>
  <si>
    <t>celular</t>
  </si>
  <si>
    <t>https://flex.claro.com.br/?utm_source=minhaclaro-deckvendas_web&amp;utm_medium=cardflexhome-clientepre&amp;utm_campaign=gatilhoplanosflex&amp;utm_content=flex-home</t>
  </si>
  <si>
    <t>https://flex.claro.com.br/?utm_source=minhaclaro-deckvendas_app&amp;utm_medium=cardflexhome-clientepre&amp;utm_campaign=gatilhoplanosflex&amp;utm_content=flex-home</t>
  </si>
  <si>
    <t>c8b9d931-73c8-44c7-971c-1022ffdc0aa2</t>
  </si>
  <si>
    <t>WIFIMESHDECK</t>
  </si>
  <si>
    <t>wifi_mesh</t>
  </si>
  <si>
    <t>WiFi Mesh</t>
  </si>
  <si>
    <t>Com os extensores Wi-Fi você muda o jogo</t>
  </si>
  <si>
    <t>Melhore sua experiência com uma corbertura extra de Wi-Fi</t>
  </si>
  <si>
    <t>mesh_expansor.png</t>
  </si>
  <si>
    <t>mesh-expansor</t>
  </si>
  <si>
    <t>https://www.claropromo.com.br/mesh?utm_source=minhaclaro-deckvendas_web&amp;utm_medium=claropromomesh&amp;utm_campaign=gatilhowifimesh</t>
  </si>
  <si>
    <t>31f60ac0-6cb2-43a0-9d7c-9508e3316179</t>
  </si>
  <si>
    <t>CLAROTVDECK</t>
  </si>
  <si>
    <t>claro_tv</t>
  </si>
  <si>
    <t>Claro TV +</t>
  </si>
  <si>
    <t>Claro tv+ é o melhor da tv e do streaming juntos</t>
  </si>
  <si>
    <t>Com + de 100 canais ao vivo para você e toda sua família</t>
  </si>
  <si>
    <t>claro_tv.png</t>
  </si>
  <si>
    <t>claro_tv_box.png</t>
  </si>
  <si>
    <t>claro-box-tv</t>
  </si>
  <si>
    <t>CONTROLE,CONTROLE_FACIL,POS_PAGO</t>
  </si>
  <si>
    <t>https://www.claro.com.br/claro-tv-mais</t>
  </si>
  <si>
    <t>b523b6fe-a078-4b3e-b6bb-f242bc1ef998</t>
  </si>
  <si>
    <t>Assine Claro net virtua de 125 mega por apenas R$ 69,90/mês. Oferta exclusiva para cliente Claro.</t>
  </si>
  <si>
    <t>https://planos.claro.com.br/checkout/dados-pessoais?affiliateId=r1zJOII0j&amp;internetId=983&amp;utm_source=mcm&amp;utm_medium=banner-card-desk&amp;utm_campaign=mcm-banner-card-desk</t>
  </si>
  <si>
    <t>5c342c38-ab2d-4417-8936-4e034a4b72c9</t>
  </si>
  <si>
    <t>Assine Claro net virtua de 350 mega por apenas R$ 89,90/mês. Oferta exclusiva para cliente Claro</t>
  </si>
  <si>
    <t>https://planos.claro.com.br/checkout/dados-pessoais?affiliateId=r1zJOII0j&amp;internetId=902&amp;utm_source=mcm&amp;utm_medium=banner-card-desk&amp;utm_campaign=mcm-banner-card-desk</t>
  </si>
  <si>
    <t xml:space="preserve"> "pathImagemS3": "{\"default\":\"</t>
  </si>
  <si>
    <t>other_offers_deck</t>
  </si>
  <si>
    <t>mcm-backend-uat-ElegibilidadeOferta</t>
  </si>
  <si>
    <t xml:space="preserve"> \"TAG\": \"demais_ofertas:</t>
  </si>
  <si>
    <t xml:space="preserve">  \"IMG_ICONE\": \"https://assets.clarobrasil.mobi/ecommerce-config/sales-deck/</t>
  </si>
  <si>
    <t>Diretório</t>
  </si>
  <si>
    <t>Imagem Desktop</t>
  </si>
  <si>
    <t>Imagem Mobile</t>
  </si>
  <si>
    <t>fe5996ca-27fe-4fce-8bc9-5a93b634d99</t>
  </si>
  <si>
    <t>SKEELOSITE</t>
  </si>
  <si>
    <t>bannerSkeelo_carrossel</t>
  </si>
  <si>
    <t>carrosselsiteeccom</t>
  </si>
  <si>
    <t>TIPO</t>
  </si>
  <si>
    <t>a1794e29-e072-4e29-9524-ab7b87a2a0b8</t>
  </si>
  <si>
    <t>sales_deck</t>
  </si>
  <si>
    <t>APARELHOS</t>
  </si>
  <si>
    <t>a00308d3-3865-46b2-86f0-494dfa851dca</t>
  </si>
  <si>
    <t>45685b41-47b9-4aef-a8ef-d67d47f24e7d</t>
  </si>
  <si>
    <t>BANNER1500PRECTRL</t>
  </si>
  <si>
    <t>banner1500PRECTRL_carrossel</t>
  </si>
  <si>
    <t>banner_generico_pre-home-desk.png</t>
  </si>
  <si>
    <t>banner_generico_pre-home-mobile.png</t>
  </si>
  <si>
    <t>https://planoscelular.claro.com.br/claro/pt/claro/pt/c/smartphone?sort=payNowPrice-asc&amp;q=%3Arelevance%3Aprice%3AR%25240-R%2524499.99%3Aprice%3AR%2524500-R%2524999.99%3Aprice%3AR%25241000-R%25241499.99#&amp;utm_source=minhaclaro&amp;utm_medium=banner_aparelho_site&amp;utm_campaign=aparelhosate1500_ctr8gb _banner_aparelho_web</t>
  </si>
  <si>
    <t>6673aa66-450f-4948-94b1-70a1cced2775</t>
  </si>
  <si>
    <t>BANNER5G</t>
  </si>
  <si>
    <t>banner5g_carrossel</t>
  </si>
  <si>
    <t>banner_generico_pos-home-desk.png</t>
  </si>
  <si>
    <t>banner_generico_pos-home-mobile.png</t>
  </si>
  <si>
    <t>https://planoscelular.claro.com.br/claro/pt/search?text=+5g#&amp;utm_source=minhaclaro&amp;utm_medium=banner_aparelho_app&amp;utm_campaign=aparelhos5g</t>
  </si>
  <si>
    <t>61aecdc5-3fdf-4b1d-af92-9f08303b9e49</t>
  </si>
  <si>
    <t>MOTOG73PRECTRL</t>
  </si>
  <si>
    <t>moto_g73_pre_controle_carrossel</t>
  </si>
  <si>
    <t>banner-lancamento-moto-G73-5G-v2-overposting-controle-MCM-desk.png</t>
  </si>
  <si>
    <t>banner-lancamento-moto-G73-5G-v2-overposting-controle-MCM-mobile.png</t>
  </si>
  <si>
    <t>https://planoscelular.claro.com.br/claroCampaigns/subcampaign?sku=000000000000018528&amp;campaign=CBA&amp;subCampaign=&amp;paymentMethod=debitcard&amp;loyalty=true&amp;invoiceType=DIGITAL&amp;city=&amp;state=&amp;processType=migrate&amp;offerPlanId=22285&amp;smartphone=true&amp;utm_source=minhaclaro&amp;utm_medium=banner_aparelho_site&amp;utm_campaign=moto_g73_128gb_ctr10gb_banner_aparelho_site</t>
  </si>
  <si>
    <t>ab8fe3d8-5fae-4cc6-8089-e89d0a6a48de</t>
  </si>
  <si>
    <t>MOTOG73POS</t>
  </si>
  <si>
    <t>eed47fa0-a444-41ee-8e89-a04e4867ea69</t>
  </si>
  <si>
    <t>BL125MEGA</t>
  </si>
  <si>
    <t>banda_larga_125_mega_carrossel</t>
  </si>
  <si>
    <t>carrossel_desktop_125_mega-desktop.png</t>
  </si>
  <si>
    <t>carrossel_mobile_125_mega-mobile.png</t>
  </si>
  <si>
    <t>https://planos.claro.com.br/checkout/dados-pessoais?affiliateId=r1zJOII0j&amp;internetId=983&amp;utm_source=mcm&amp;utm_medium=banner-web&amp;utm_campaign=mcm-banner-web</t>
  </si>
  <si>
    <t>BANDA LARGA</t>
  </si>
  <si>
    <t>d9e386b4-eb67-490f-b712-3e1b8105e892</t>
  </si>
  <si>
    <t>BL300MEGA</t>
  </si>
  <si>
    <t>banda_larga_300_mega_carrossel</t>
  </si>
  <si>
    <t>carrossel_desktop_350_mega-desktop.png</t>
  </si>
  <si>
    <t>carrossel_mobile_350_mega-mobile.png</t>
  </si>
  <si>
    <t>https://planos.claro.com.br/checkout/dados-pessoais?affiliateId=r1zJOII0j&amp;internetId=902&amp;utm_source=mcm&amp;utm_medium=banner-web&amp;utm_campaign=mcm-banner-web</t>
  </si>
  <si>
    <t>87903837-5de0-4106-8cbe-3b8e169b9107</t>
  </si>
  <si>
    <t>BL500MEGA</t>
  </si>
  <si>
    <t>banda_larga_500_mega_carrossel</t>
  </si>
  <si>
    <t>carrossel_desktop_500_mega-desktop.png</t>
  </si>
  <si>
    <t>carrossel_mobile_500_mega-mobile.png</t>
  </si>
  <si>
    <t>MCM</t>
  </si>
  <si>
    <t>8b8f4f0b-baa3-4f6d-92a8-2ec1b1fe62bc</t>
  </si>
  <si>
    <t>CLAROTVMAISSITE</t>
  </si>
  <si>
    <t>clarotvmais_carrossel</t>
  </si>
  <si>
    <t>banner_dom_desktop.jpg</t>
  </si>
  <si>
    <t>banner_dom_mobile.jpg</t>
  </si>
  <si>
    <t>https://www.clarotvmais.com.br/series-programa-de-tv/dom/1009986495?utm_source=dbm&amp;utm_medium=banner&amp;utm_campaign=2023-03-10|mcm|claro|dom-liberado&amp;utm_content=&amp;app-claro-tv-primevideo</t>
  </si>
  <si>
    <t>c96e65e7-4a16-4849-88ac-ac098923e748</t>
  </si>
  <si>
    <t>RECPRESITE</t>
  </si>
  <si>
    <t>bannerRecarga_carrossel</t>
  </si>
  <si>
    <t>RECSITE_DESK.png</t>
  </si>
  <si>
    <t>RECSITE_MOB.png</t>
  </si>
  <si>
    <t>https://minhaclaro.claro.com.br/mcpf/index.html#.html/recarga/recarga-online</t>
  </si>
  <si>
    <t>469cbf8a-e4b3-4e27-9785-37bb798ea7c2</t>
  </si>
  <si>
    <t>F1SITE</t>
  </si>
  <si>
    <t>bannerF1_carrossel</t>
  </si>
  <si>
    <t>F1SITE_DESK.jpg</t>
  </si>
  <si>
    <t>F1SITE_MOB.jpg</t>
  </si>
  <si>
    <t>https://clarobr.co/f1naclaromc</t>
  </si>
  <si>
    <t>6b764284-4a99-4a06-b8a6-8d7e22b1707b</t>
  </si>
  <si>
    <t>PORTPRESITE</t>
  </si>
  <si>
    <t>bannerPortabilidadeParaClaro_carrossel</t>
  </si>
  <si>
    <t>PORT_DESK.png</t>
  </si>
  <si>
    <t>PORT_MOB.png</t>
  </si>
  <si>
    <t>https://minhaclaro.claro.com.br/mcpf/index.html#.html/servicos/portabilidade/solicitar</t>
  </si>
  <si>
    <t>e43c297d-015d-497a-a2e8-2b6b589926fb</t>
  </si>
  <si>
    <t>PLANOS</t>
  </si>
  <si>
    <t>a175e4b6-f367-4e62-9709-4dea703f7381</t>
  </si>
  <si>
    <t>CONTROLECONTROLE30GB</t>
  </si>
  <si>
    <t>bannerControleControle_carrossel</t>
  </si>
  <si>
    <t>mpm-106-banner-mcm-site-prepara-copa-30gb-desk.png</t>
  </si>
  <si>
    <t>mpm-106-banner-mcm-site-prepara-copa-30gb-mobile.png</t>
  </si>
  <si>
    <t>https://planoscelular.claro.com.br/claro/pt/offer-plan/externalUri?offerPlanId=22287&amp;coupon=3c4083ca3b815a66050a6482cfde7fef242b3c98e1eec5fd188ab17e562d0f3e&amp;msisdn=msisdn&amp;targetCampaign=migra&amp;paymentMethod=debitcard&amp;loyalty=true&amp;invoiceType=DIGITAL&amp;processType=EXCHANGE&amp;utm_source=minhaclaro-home_web&amp;utm_medium=banner&amp;utm_campaign=Troca_Controle_30GBTiktok</t>
  </si>
  <si>
    <t>fe5996ca-27fe-4fce-8bc9-5a93b634d998</t>
  </si>
  <si>
    <t>45ead43c-13b9-4e50-a60a-b7ed446d0c91</t>
  </si>
  <si>
    <t>AREA NÃO LOGADA</t>
  </si>
  <si>
    <t>5e313fc1-dffe-46fe-b0ad-e050cf754d36</t>
  </si>
  <si>
    <t>BANNER5GNOLOG</t>
  </si>
  <si>
    <t>banner_5g_no_log</t>
  </si>
  <si>
    <t>areanaologadasite</t>
  </si>
  <si>
    <t>banner-5G-desk.png</t>
  </si>
  <si>
    <t>banner-5G-mob.png</t>
  </si>
  <si>
    <t>https://www.claro.com.br/internet/5g-mais</t>
  </si>
  <si>
    <t xml:space="preserve"> "defaultMetaData": "</t>
  </si>
  <si>
    <t>"pathImagemS3": "{</t>
  </si>
  <si>
    <t>Padrão mobile</t>
  </si>
  <si>
    <t xml:space="preserve"> \"default_mobile\": \"</t>
  </si>
  <si>
    <t>carrosselDashboardMcmSite</t>
  </si>
  <si>
    <t>b027cd34-e2a9-422c-b3a6-68bf355fd199</t>
  </si>
  <si>
    <t>1.  banner-pub_mcmn_24_01_2023_nl_v1</t>
  </si>
  <si>
    <t>PUB_MCMN_24_01_2023_NL_V1</t>
  </si>
  <si>
    <t>d841ddae-56f1-47ef-995b-16dceb086c96</t>
  </si>
  <si>
    <t>2.  banner-claroclubeemp2023v1</t>
  </si>
  <si>
    <t>CLAROCLUBEEMP2023V1</t>
  </si>
  <si>
    <t>350efa9b-03de-4240-9d6a-7d4521ce65d8</t>
  </si>
  <si>
    <t>OF_MVL_RENT_23_02_2023_LG_V1</t>
  </si>
  <si>
    <t>3.  banner-of_pme_350_16_01_2023_nl_v1</t>
  </si>
  <si>
    <t>OF_PME_350_16_01_2023_NL_V1</t>
  </si>
  <si>
    <t>d1499d1b-9ac0-4063-9ee3-9080646fdcc7</t>
  </si>
  <si>
    <t>4.  banner-of_mvl_12g_23_01_2023_nl_v1</t>
  </si>
  <si>
    <t>OF_MVL_12G_23_01_2023_NL_V1</t>
  </si>
  <si>
    <t>9a8a4e90-453f-45ef-8a93-042489d129b6</t>
  </si>
  <si>
    <t>http://bit.ly/3K6HvaZ</t>
  </si>
  <si>
    <t xml:space="preserve"> \"default\": \"carrosselpj/</t>
  </si>
  <si>
    <t>352_100RCKT_ap_claro_empresas_banner_rentabilizacao_movel_incremento_360x628_v4.jpg</t>
  </si>
  <si>
    <t xml:space="preserve"> \"default_mobile\": \"carrosselpj/</t>
  </si>
  <si>
    <t>banner_area_logada</t>
  </si>
  <si>
    <t>carrosselpj</t>
  </si>
  <si>
    <t>Tipo: inclusão (ADM Logada)</t>
  </si>
  <si>
    <t>Código da campanha: criar, sugiro ‘OF_MVL_RENT_23_02_2023_LG_V1’</t>
  </si>
  <si>
    <t>Tipo de campanha: ‘ADM Logada’ (Área logada ADM)</t>
  </si>
  <si>
    <t>Link redirect: http://bit.ly/3K6HvaZ</t>
  </si>
  <si>
    <t>Imagem Desktop: 352_100RCKT_ap_claro_empresas_banner_rentabilizacao_movel_incremento_360x628_v4.jpg</t>
  </si>
  <si>
    <t>Imagem mobile: 352_100RCKT_ap_claro_empresas_banner_rentabilizacao_movel_incremento_360x628_v4.jpg</t>
  </si>
  <si>
    <t>2d246351-26b5-492c-aa5a-ea1f31e6dd1a</t>
  </si>
  <si>
    <t>SESSAOPLANOPOS</t>
  </si>
  <si>
    <t>Icone do Benefício 1</t>
  </si>
  <si>
    <t xml:space="preserve">  \"ICON_BEN1\": \"</t>
  </si>
  <si>
    <t>Texto do Benefício 1</t>
  </si>
  <si>
    <t xml:space="preserve"> \"TEXT_BEN1\": \"</t>
  </si>
  <si>
    <t>Icone do Benefício 2</t>
  </si>
  <si>
    <t xml:space="preserve">  \"ICON_BEN2\": \"</t>
  </si>
  <si>
    <t>passaporte</t>
  </si>
  <si>
    <t>Texto do Benefício 2</t>
  </si>
  <si>
    <t xml:space="preserve"> \"TEXT_BEN2\": \"</t>
  </si>
  <si>
    <t>Plano internacional</t>
  </si>
  <si>
    <t>Icone do Benefício 3</t>
  </si>
  <si>
    <t xml:space="preserve">  \"ICON_BEN3\": \"</t>
  </si>
  <si>
    <t>bonus-extraplay</t>
  </si>
  <si>
    <t>Texto do Benefício 3</t>
  </si>
  <si>
    <t xml:space="preserve"> \"TEXT_BEN3\": \"</t>
  </si>
  <si>
    <t>Bônus extra para apps de vídeo</t>
  </si>
  <si>
    <t>Icone do Benefício 4</t>
  </si>
  <si>
    <t xml:space="preserve">  \"ICON_BEN4\": \"</t>
  </si>
  <si>
    <t>claro</t>
  </si>
  <si>
    <t>Texto do Benefício 4</t>
  </si>
  <si>
    <t xml:space="preserve"> \"TEXT_BEN4\": \"</t>
  </si>
  <si>
    <t>Conteúdos exclusivos</t>
  </si>
  <si>
    <t>https://planoscelular.claro.com.br/claro/pt/c/pospago?q=:recurringPrice-asc:promotionalPaymentMethods:ticket&amp;text=&amp;show=All&amp;utm_source=minhaclaro-deckvendas_web&amp;utm_medium=plppos-clientepos&amp;utm_campaign=gatilhomudeseuplano</t>
  </si>
  <si>
    <t>Planos para quem quer navegar e falar muito, sabendo exatamente quanto vai pagar.</t>
  </si>
  <si>
    <t>Sessão</t>
  </si>
  <si>
    <t>MUDE SEU PLANO</t>
  </si>
  <si>
    <t>Título</t>
  </si>
  <si>
    <t>Texto do Botão</t>
  </si>
  <si>
    <t>Conheça os planos</t>
  </si>
  <si>
    <t>sales_plans</t>
  </si>
  <si>
    <t>POSICAO_1</t>
  </si>
  <si>
    <t>POSICAO_2</t>
  </si>
  <si>
    <t>POSICAO_3</t>
  </si>
  <si>
    <t>POSICAO_4</t>
  </si>
  <si>
    <t>POSICAO_5</t>
  </si>
  <si>
    <t>POSICAO_6</t>
  </si>
  <si>
    <t>ESTRUTURA</t>
  </si>
  <si>
    <t>FINAL</t>
  </si>
  <si>
    <t>17e6845a-cf0a-46a9-ab9c-7c8fcc826dd2</t>
  </si>
  <si>
    <t>ORDENACAOCTRL</t>
  </si>
  <si>
    <t>Ordenação Sessões Controle</t>
  </si>
  <si>
    <t>exclusivas</t>
  </si>
  <si>
    <t>planos</t>
  </si>
  <si>
    <t>banners</t>
  </si>
  <si>
    <t>aparelhos</t>
  </si>
  <si>
    <t>acessorios</t>
  </si>
  <si>
    <t>demais_ofertas</t>
  </si>
  <si>
    <t>d9b0e38b-20f8-4fca-94dd-f56efc3cd79e</t>
  </si>
  <si>
    <t>ORDENACAOPRE</t>
  </si>
  <si>
    <t>Ordenação Sessões Pré</t>
  </si>
  <si>
    <t>e3d9a7af-c458-40ca-8c73-eaedd5221dd0</t>
  </si>
  <si>
    <t>ORDENACAOPOS</t>
  </si>
  <si>
    <t>Ordenação Sessões Pós</t>
  </si>
  <si>
    <t xml:space="preserve">  \"POSICAO_1\": \"</t>
  </si>
  <si>
    <t>Dados</t>
  </si>
  <si>
    <t xml:space="preserve"> \"POSICAO_2\": \"</t>
  </si>
  <si>
    <t xml:space="preserve"> \"POSICAO_3\": \"</t>
  </si>
  <si>
    <t xml:space="preserve"> \"POSICAO_4\": \"</t>
  </si>
  <si>
    <t xml:space="preserve"> \"POSICAO_5\": \"</t>
  </si>
  <si>
    <t xml:space="preserve"> \"POSICAO_6\": \"</t>
  </si>
  <si>
    <t>ordenation</t>
  </si>
  <si>
    <t>MCAP</t>
  </si>
  <si>
    <t>MCLA</t>
  </si>
  <si>
    <t>SITERES</t>
  </si>
  <si>
    <t>APPRES</t>
  </si>
  <si>
    <t>MCLA_mobile</t>
  </si>
  <si>
    <t>d4b27b39-3f9d-4af1-8a77-cfa6bae8e18a</t>
  </si>
  <si>
    <t>SPLASH_CTRL</t>
  </si>
  <si>
    <t>minhaclaro://SalesDeck</t>
  </si>
  <si>
    <t>https://minhaclaro.claro.com.br/mcpf/index.html#.html/loja</t>
  </si>
  <si>
    <t>https://minhaclaroresidencial.claro.com.br/mude-seu-plano/monte-sua-combinacao?origin=minhanetweb&amp;affiliateId=B1KKRliVY</t>
  </si>
  <si>
    <t>https://minhaclaroresidencial.claro.com.br/mude-seu-plano/monte-sua-combinacao?auth=token&amp;origin=minhanetapp&amp;affiliateId=rkRzV3Alc&amp;utm_source=app-mcr&amp;utm_medium=home&amp;utm_campaign=mude-seu-plano</t>
  </si>
  <si>
    <t>MCLA_CTRL.png</t>
  </si>
  <si>
    <t>MCLA_mobile_CTRL.png</t>
  </si>
  <si>
    <t>SITERES.png</t>
  </si>
  <si>
    <t>APPRES.png</t>
  </si>
  <si>
    <t>79d287aa-50da-4477-a999-ededc18ff027</t>
  </si>
  <si>
    <t>SPLASH_PRE</t>
  </si>
  <si>
    <t>MCAP_PRE.jpg</t>
  </si>
  <si>
    <t>MCLA_PRE.png</t>
  </si>
  <si>
    <t>MCLA_mobile_PRE.png</t>
  </si>
  <si>
    <t>069181c8-8306-4799-9fe9-6df076f71844</t>
  </si>
  <si>
    <t>SPLASH_POS</t>
  </si>
  <si>
    <t>MCLA_POS.png</t>
  </si>
  <si>
    <t>MCLA_mobile_POS.png</t>
  </si>
  <si>
    <t>4c5de0c9-3c75-412a-bb14-2d17886795cd</t>
  </si>
  <si>
    <t>SPLASH_PRE_MAILING</t>
  </si>
  <si>
    <t>MCAP_PRE_Mailing.jpg</t>
  </si>
  <si>
    <t>"lambdaMensagens":"mcm-backend-prd-AvisoGenerico",</t>
  </si>
  <si>
    <t>"textoSecundario":"",</t>
  </si>
  <si>
    <t>"dtVigenciaIni": "",</t>
  </si>
  <si>
    <t>"dtVigenciaFim": "",</t>
  </si>
  <si>
    <t>IMAGENS</t>
  </si>
  <si>
    <t>SEGMENTO</t>
  </si>
  <si>
    <t>NOME</t>
  </si>
  <si>
    <t>URLS</t>
  </si>
  <si>
    <t>"defaultMetaData": "{\"chave\":\"\"}",</t>
  </si>
  <si>
    <t>"segmento":"</t>
  </si>
  <si>
    <t>"defaultUrlRedirect": "{</t>
  </si>
  <si>
    <t>"emailResponsavel": "",</t>
  </si>
  <si>
    <t xml:space="preserve"> \"MCAP\": \"sales_deck/</t>
  </si>
  <si>
    <t>"descricao": "",</t>
  </si>
  <si>
    <t xml:space="preserve"> \"APPRES\": \"sales_deck/</t>
  </si>
  <si>
    <t xml:space="preserve"> \"APPRES\": \"</t>
  </si>
  <si>
    <t>"nomeLambda": "",</t>
  </si>
  <si>
    <t xml:space="preserve"> \"SITERES\": \"sales_deck/</t>
  </si>
  <si>
    <t xml:space="preserve"> \"SITERES\": \"</t>
  </si>
  <si>
    <t>"canal": "",</t>
  </si>
  <si>
    <t xml:space="preserve"> \"MCLA\": \"sales_deck/</t>
  </si>
  <si>
    <t>ATIVO</t>
  </si>
  <si>
    <t>"tipo": "",</t>
  </si>
  <si>
    <t xml:space="preserve"> \"MCLA_mobile\": \"sales_deck/</t>
  </si>
  <si>
    <t>"metodo": "generico",</t>
  </si>
  <si>
    <t>"prioridade": 1,</t>
  </si>
  <si>
    <t>"verificaParticipacao": True,</t>
  </si>
  <si>
    <t>"nomeIcone": "",</t>
  </si>
  <si>
    <t>"textoPrincipal": "",</t>
  </si>
  <si>
    <t>"verificablacklist": True,</t>
  </si>
  <si>
    <t>"pathImagemS3": "{ \"default\": \"carrosselsiteeccom/Skeelo_1108x200.png\", \"default_mobile\": \"carrosselsiteeccom/Skeelo_328x200.png\"}",</t>
  </si>
  <si>
    <t>"tempoBlacklist": 7,</t>
  </si>
  <si>
    <t>ajuste de imagens</t>
  </si>
  <si>
    <t>AMaldiçãoDoEx_328x200.png</t>
  </si>
  <si>
    <t>AMaldiçãoDoEx_1108x200.png</t>
  </si>
  <si>
    <t>https://planoscelular.claro.com.br/claro/pt/offer-plan/externalUri?offerPlanId=22285&amp;coupon=b0faa2bc06d9836abf066270adfe25308348858cfe6301c3a36bb6a12eff728b&amp;msisdn=msisdn&amp;targetCampaign=migra&amp;paymentMethod=debitcard&amp;loyalty=true&amp;invoiceType=DIGITAL&amp;processType=MIGRATE&amp;utm_source=minhaclaro-deckvendas_web&amp;utm_medium=banner&amp;utm_campaign=novoecom_BannerDeckApp_20GB</t>
  </si>
  <si>
    <t>https://planos.claro.com.br/checkout/dados-pessoais?affiliateId=r1zJOII0j&amp;tvId=611&amp;internetId=691&amp;utm_source=mcm&amp;utm_medium=banner-sofertas&amp;utm_campaign=mcm-banner-sofertas</t>
  </si>
  <si>
    <t>0972a53a-eead-4e84-b3c5-da82eef24f43</t>
  </si>
  <si>
    <t>c4efd041-c530-41fc-ab79-22e6cac6031b</t>
  </si>
  <si>
    <t>784883fc-5094-49f3-93a8-7b29a21ced70</t>
  </si>
  <si>
    <t>AMX154226</t>
  </si>
  <si>
    <t>Contrate o plano Claro Controle com 30GB com Tiktok - Oferta Exclusiva</t>
  </si>
  <si>
    <t>up_30gb_tiktok</t>
  </si>
  <si>
    <t>https://planoscelular.claro.com.br/claro/pt/offer-plan/externalUri?offerPlanId=22287&amp;coupon=3c4083ca3b815a66050a6482cfde7fef242b3c98e1eec5fd188ab17e562d0f3e&amp;msisdn=msisdn&amp;targetCampaign=migra&amp;paymentMethod=debitcard&amp;loyalty=true&amp;invoiceType=DIGITAL&amp;processType=EXCHANGE&amp;utm_source=minhaclaro-deckvendas_app&amp;utm_medium=carrossel_troca_cntrl&amp;utm_campaign=novoecom_30GB_Tiktok_troca_seg&amp;utm_id=OS71565</t>
  </si>
  <si>
    <t>https://planoscelular.claro.com.br/claro/pt/offer-plan/externalUri?offerPlanId=22287&amp;coupon=3c4083ca3b815a66050a6482cfde7fef242b3c98e1eec5fd188ab17e562d0f3e&amp;msisdn=msisdn&amp;targetCampaign=migra&amp;paymentMethod=debitcard&amp;loyalty=true&amp;invoiceType=DIGITAL&amp;processType=EXCHANGE&amp;utm_source=minhaclaro-deckvendas_web&amp;utm_medium=carrossel_troca_cntrl&amp;utm_campaign=novoecom_30GB_Tiktok_troca_seg&amp;utm_id=OS71565</t>
  </si>
  <si>
    <t>3c99f843-328a-41e3-9cc7-5adbfa9add65</t>
  </si>
  <si>
    <t>Contrate o plano Claro Pós 200GB - Oferta Exclusiva</t>
  </si>
  <si>
    <t>up_pos_200gb</t>
  </si>
  <si>
    <t>https://planoscelular.claro.com.br/claro/pt/offer-plan/externalUri?offerPlanId=22377&amp;coupon=f8270c16f970fec04b886713c30943e9&amp;msisdn=msisdn&amp;targetCampaign=migra&amp;paymentMethod=debitcard&amp;loyalty=true&amp;invoiceType=DIGITAL&amp;processType=EXCHANGE&amp;utm_source=minhaclaro-deckvendas_app&amp;utm_medium=carrossel_troca_pos&amp;utm_campaign=novoecom_200GB_troca_seg&amp;utm_id=OS71567</t>
  </si>
  <si>
    <t>https://planoscelular.claro.com.br/claro/pt/offer-plan/externalUri?offerPlanId=22377&amp;coupon=f8270c16f970fec04b886713c30943e9&amp;msisdn=msisdn&amp;targetCampaign=migra&amp;paymentMethod=debitcard&amp;loyalty=true&amp;invoiceType=DIGITAL&amp;processType=EXCHANGE&amp;utm_source=minhaclaro-deckvendas_web&amp;utm_medium=carrossel_troca_pos&amp;utm_campaign=novoecom_200GB_troca_seg&amp;utm_id=OS71567</t>
  </si>
  <si>
    <t>Galaxy A04e 64GB</t>
  </si>
  <si>
    <t>MOTO G23 128GB</t>
  </si>
  <si>
    <t>IPHONE 12 64GB</t>
  </si>
  <si>
    <t>MOTO G53 5G 128GB</t>
  </si>
  <si>
    <t>Galaxy S23 5G 128 GB</t>
  </si>
  <si>
    <t>EXCLUSIVO CLARO</t>
  </si>
  <si>
    <t>LANÇAMENTO</t>
  </si>
  <si>
    <t>x</t>
  </si>
  <si>
    <t>Cód Campanha</t>
  </si>
  <si>
    <t>DESCRIÇÃO</t>
  </si>
  <si>
    <t>ICON_BEN1</t>
  </si>
  <si>
    <t>TEXT_BEN1</t>
  </si>
  <si>
    <t>ICON_BEN2</t>
  </si>
  <si>
    <t>TEXT_BEN2</t>
  </si>
  <si>
    <t>ICON_BEN3</t>
  </si>
  <si>
    <t>TEXT_BEN3</t>
  </si>
  <si>
    <t>ICON_BEN4</t>
  </si>
  <si>
    <t>TEXT_BEN4</t>
  </si>
  <si>
    <t>PREÇO</t>
  </si>
  <si>
    <t>PERIODO</t>
  </si>
  <si>
    <t>af3822a6-ce46-11ed-afa1-0242ac120002</t>
  </si>
  <si>
    <t>DOWNPLANOPOS</t>
  </si>
  <si>
    <t>Pós-pago</t>
  </si>
  <si>
    <t>Planos com muita internet, acesso gratuito aos seus apps favoritos, bônus extra para apps de vídeo e muito mais.</t>
  </si>
  <si>
    <t>ao-vivo</t>
  </si>
  <si>
    <t>quadrado-mais-play</t>
  </si>
  <si>
    <t>aviao</t>
  </si>
  <si>
    <t>mês*</t>
  </si>
  <si>
    <t>https://planoscelular.claro.com.br/claro/pt/c/pospago</t>
  </si>
  <si>
    <t>da59fa1b-7274-46c7-9240-9f2eca4ebf1d</t>
  </si>
  <si>
    <t>DOWNPLANOCTRL</t>
  </si>
  <si>
    <t>Controle</t>
  </si>
  <si>
    <t>Muita internet, ligações ilimitadas e acesso gratuito aos seus apps favoritos, por um preço fixo.</t>
  </si>
  <si>
    <t>https://planoscelular.claro.com.br/claro/pt/c/controle</t>
  </si>
  <si>
    <t>87f3b40a-8c33-431d-bec2-b86d45855dc3</t>
  </si>
  <si>
    <t>DOWNPLANOFLEX</t>
  </si>
  <si>
    <t>Flex</t>
  </si>
  <si>
    <t>Planos de celular com muita internet e acesso ilimitado aos seus apps favoritos sem descontar da sua franquia. Tudo 100% digital e sem fidelidade.</t>
  </si>
  <si>
    <t>dedo-indicador-toque</t>
  </si>
  <si>
    <t>Você faz tudo pelo app, fácil e seguro</t>
  </si>
  <si>
    <t>-telefone-ligacoes</t>
  </si>
  <si>
    <t>3ed673c4-9226-400f-a6e2-0fa7117cdb4d</t>
  </si>
  <si>
    <t>DOWNPLANOPRE</t>
  </si>
  <si>
    <t>Prezão</t>
  </si>
  <si>
    <t>Planos pré com internet, ligações ilimitadas e WhatsApp com ligações e vídeo chamadas sem descontar da internet.</t>
  </si>
  <si>
    <t>telefone-ligacoes</t>
  </si>
  <si>
    <t>semana*</t>
  </si>
  <si>
    <t>OPENWARNING</t>
  </si>
  <si>
    <t>https://www.claro.com.br/celular/planos-pre/prezao</t>
  </si>
  <si>
    <t xml:space="preserve"> "tipo": "other_plans_deck</t>
  </si>
  <si>
    <t xml:space="preserve"> \"ICON_BEN2\": \"</t>
  </si>
  <si>
    <t xml:space="preserve"> \"ICON_BEN3\": \"</t>
  </si>
  <si>
    <t xml:space="preserve"> \"ICON_BEN4\": \"</t>
  </si>
  <si>
    <t xml:space="preserve">  \"PRECO\": \"</t>
  </si>
  <si>
    <t xml:space="preserve">  \"PERIODO\": \"</t>
  </si>
  <si>
    <t xml:space="preserve">  \"OPENWARNING\": \"</t>
  </si>
  <si>
    <t xml:space="preserve">  \"TAG\": \"outros_planos:</t>
  </si>
  <si>
    <t>https://flex.claro.com.br/</t>
  </si>
  <si>
    <t>claro_0_apple_iphone12_64GB_preto.png</t>
  </si>
  <si>
    <t>claro_0_motorola_G23_grafite.png</t>
  </si>
  <si>
    <t>claro_0_samsung_A04E_4G_preto.png</t>
  </si>
  <si>
    <t>claro_0_samsung_s23_5G_preto.png</t>
  </si>
  <si>
    <t>Galaxy S23 5G 128GB</t>
  </si>
  <si>
    <t>289,00</t>
  </si>
  <si>
    <t>https://planoscelular.claro.com.br/claroCampaigns/subcampaign?sku=000000000000018449&amp;campaign=CBA&amp;subCampaign=&amp;paymentMethod=debitcard&amp;loyalty=true&amp;invoiceType=DIGITAL&amp;city=&amp;state=&amp;processType=migrate&amp;offerPlanId=22375&amp;smartphone=true</t>
  </si>
  <si>
    <t xml:space="preserve"> \"ICON_BEN5\": \"</t>
  </si>
  <si>
    <t xml:space="preserve"> \"TEXT_BEN5\": \"</t>
  </si>
  <si>
    <t>ICON_BEN5</t>
  </si>
  <si>
    <t>TEXT_BEN5</t>
  </si>
  <si>
    <t>"prioridade":"</t>
  </si>
  <si>
    <t>&lt;span class='bold'&gt;Extraplay&lt;/span&gt; para assistir conteúdos em vídeos nos seus apps favoritos</t>
  </si>
  <si>
    <t>Apps para navegar &lt;span class='bold'&gt;ilimitado&lt;/span&gt; sem descontar da sua franquia</t>
  </si>
  <si>
    <t>&lt;span class='bold'&gt;Passaporte das Américas&lt;/span&gt; para navegar e falar no exterior</t>
  </si>
  <si>
    <t>Aproveite &lt;span class='bold'&gt;apps de conteúdo&lt;/span&gt; incluso no plano: Skeelo e Claro Banca</t>
  </si>
  <si>
    <t>Apps para navegar &lt;span class='bold'&gt;ilimitado&lt;/span&gt; sem descontar da sua franquia: WhatsApp, Waze, Instagram, Facebook, Twitter e Claro música</t>
  </si>
  <si>
    <t>&lt;span class='bold'&gt;Ligações ilimitadas&lt;/span&gt; para qualquer operadora do Brasil</t>
  </si>
  <si>
    <t>Apps para navegar &lt;span class='bold'&gt;ilimitado&lt;/span&gt;: WhatsApp, Claro Música e Claro Cursos</t>
  </si>
  <si>
    <t>99,9</t>
  </si>
  <si>
    <t>pos-pago</t>
  </si>
  <si>
    <t>44,9</t>
  </si>
  <si>
    <t>controle</t>
  </si>
  <si>
    <t>39,9</t>
  </si>
  <si>
    <t>flex</t>
  </si>
  <si>
    <t>9,99</t>
  </si>
  <si>
    <t>prezao</t>
  </si>
  <si>
    <t>7a0c36a5-3713-4339-bc57-2cef5ab0a55b</t>
  </si>
  <si>
    <t>OUTROSPLANOS</t>
  </si>
  <si>
    <t>outros_planos</t>
  </si>
  <si>
    <t>Outros Planos</t>
  </si>
  <si>
    <t>Mais opções de planos para você</t>
  </si>
  <si>
    <t>Confira as vantagens e benefícios e escolha o melhor plano para você.</t>
  </si>
  <si>
    <t xml:space="preserve"> \"REDIRECT\": \"</t>
  </si>
  <si>
    <t>https://minhaclaro.claro.com.br/mcpf/index.html#.html/loja/outros_planos</t>
  </si>
  <si>
    <t>Vitrine</t>
  </si>
  <si>
    <t>vitrine_controle</t>
  </si>
  <si>
    <t xml:space="preserve"> \"TIPO_VITRINE\": \"</t>
  </si>
  <si>
    <t xml:space="preserve"> "idcampanha":"2072f8cc-c36a-424b-b324-8858d997fc9b",</t>
  </si>
  <si>
    <t xml:space="preserve"> "codCampanha":"AMX147819",</t>
  </si>
  <si>
    <t xml:space="preserve"> "dtVigenciaIni": "20230228",</t>
  </si>
  <si>
    <t xml:space="preserve"> "dtVigenciaFim": "20230430",</t>
  </si>
  <si>
    <t xml:space="preserve"> "segmento":"CONTROLE",</t>
  </si>
  <si>
    <t xml:space="preserve"> "metodo": "",</t>
  </si>
  <si>
    <t xml:space="preserve"> "nome": "Móvel",</t>
  </si>
  <si>
    <t xml:space="preserve"> "prioridade":1,</t>
  </si>
  <si>
    <t xml:space="preserve"> "textoPrincipal": "Contrate o plano Claro Pós 50GB - Oferta Exclusiva",</t>
  </si>
  <si>
    <t xml:space="preserve"> "textoSecundario": "no débito automático",</t>
  </si>
  <si>
    <t xml:space="preserve"> "descricao": "Apps ilimitados para você",</t>
  </si>
  <si>
    <t xml:space="preserve"> "pathImagemS3": "{\"default\":\"sales_deck/apps_planos_6apps.png\"}",</t>
  </si>
  <si>
    <t xml:space="preserve"> "tipo": "salesdeck",</t>
  </si>
  <si>
    <t xml:space="preserve"> "defaultMetaData": "{  \"DESCONTO_PERCENTUAL\": \"28\", \"VALOR_PLANO_CHEIO\": \"99,90\", \"VALOR_PLANO_DESCONTO\": \"72,43\", \"template\": \"plans\", \"TAG\": \"oferta_exclusiva:claro_pos_50gb\"}",</t>
  </si>
  <si>
    <t xml:space="preserve"> "defaultUrlRedirect": "{ \"default\": \"https://planoscelular.claro.com.br/claro/pt/offer-plan/externalUri?offerPlanId=22382&amp;coupon=51c9f3bbefda4a4fa7be62f9a041b38a&amp;msisdn=msisdn&amp;targetCampaign=migra&amp;paymentMethod=debitcard&amp;loyalty=true&amp;invoiceType=DIGITAL&amp;processType=MIGRATE&amp;utm_source=minhaclaro-deckvendas_app&amp;utm_medium=pos-clientecontrole-oferta&amp;utm_campaign=gatilhomudepos50gb\", \"MCLA\": \"https://planoscelular.claro.com.br/claro/pt/offer-plan/externalUri?offerPlanId=22382&amp;coupon=51c9f3bbefda4a4fa7be62f9a041b38a&amp;msisdn=msisdn&amp;targetCampaign=migra&amp;paymentMethod=debitcard&amp;loyalty=true&amp;invoiceType=DIGITAL&amp;processType=MIGRATE&amp;utm_source=minhaclaro-deckvendas_web&amp;utm_medium=pos-clientecontrole-oferta&amp;utm_campaign=gatilhomudepos50gb\", \"MCAP\": \"https://planoscelular.claro.com.br/claro/pt/offer-plan/externalUri?offerPlanId=22382&amp;coupon=51c9f3bbefda4a4fa7be62f9a041b38a&amp;msisdn=msisdn&amp;targetCampaign=migra&amp;paymentMethod=debitcard&amp;loyalty=true&amp;invoiceType=DIGITAL&amp;processType=MIGRATE&amp;utm_source=minhaclaro-deckvendas_app&amp;utm_medium=pos-clientecontrole-oferta&amp;utm_campaign=gatilhomudepos50gb\"}"</t>
  </si>
  <si>
    <t>Conheça alguns dos nossos acessórios</t>
  </si>
  <si>
    <t>Aproveite e veja mais!</t>
  </si>
  <si>
    <t>Clique no último card</t>
  </si>
  <si>
    <t xml:space="preserve"> "defaultUrlRedirect": "{ \"default\": \"https://planoscelular.claro.com.br/claro/pt/c/smartphone?utm_source=minhaclaro-deckvendas_web&amp;utm_medium=lojaaparelhosbase-clientepos&amp;utm_campaign=gatilhodescontosmartphone\", \"MCLA\": \"https://planoscelular.claro.com.br/claro/pt/c/smartphone?utm_source=minhaclaro-deckvendas_web&amp;utm_medium=lojaaparelhosbase-clientepos&amp;utm_campaign=gatilhodescontosmartphone\", \"MCAP\": \"https://planoscelular.claro.com.br/claro/pt/c/smartphone?utm_source=minhaclaro-deckvendas_app&amp;utm_medium=lojaaparelhosbase-clientepos&amp;utm_campaign=gatilhodescontosmartphone\"}",</t>
  </si>
  <si>
    <t>Iphone 12 64GB</t>
  </si>
  <si>
    <t>1.089,00</t>
  </si>
  <si>
    <t>1.239,00</t>
  </si>
  <si>
    <t>BANNERGALAXYS23CTRL_PRE</t>
  </si>
  <si>
    <t>84,90</t>
  </si>
  <si>
    <t>209,90</t>
  </si>
  <si>
    <t>130,63</t>
  </si>
  <si>
    <t>PRE_PAGO,CONTROLE,CONTROLE_FACIL,POS_PAGO</t>
  </si>
  <si>
    <t>7d42e73f-2151-4bde-8129-341028d83a00</t>
  </si>
  <si>
    <t>4f79c320-3c76-4095-ad2b-12fcb3f330a9</t>
  </si>
  <si>
    <t>c61aab12-24c6-4c80-897a-fc52aa2cccf5</t>
  </si>
  <si>
    <t>Galaxy A14 5G 128GB</t>
  </si>
  <si>
    <t>GALAXYA145G128GB</t>
  </si>
  <si>
    <t>claro_0_samsung_A14_5G_preto.png</t>
  </si>
  <si>
    <t>galaxy_a14_5g_128gb</t>
  </si>
  <si>
    <t>1.889,00</t>
  </si>
  <si>
    <t>Moto Edge 30 5G 256GB</t>
  </si>
  <si>
    <t>claro_0_motorola_edge30_grafite.png</t>
  </si>
  <si>
    <t>claro_0_samsung_s23_Ultra_5G_preto_brinde_monitor_fone.png</t>
  </si>
  <si>
    <t>2e4ee2e1-4bf9-4254-aa68-d1d8cf90a63b</t>
  </si>
  <si>
    <t>https://planos.claro.com.br/checkout/dados-pessoais?affiliateId=r1zJOII0j&amp;internetId=691&amp;utm_source=mcm&amp;utm_medium=banner-web&amp;utm_campaign=mcm-banner-web</t>
  </si>
  <si>
    <t>Skeelo_1108x200.png</t>
  </si>
  <si>
    <t>Skeelo_328x200.png</t>
  </si>
  <si>
    <t>https://conteudo.skeelo.app/minhaclaro?utm_source=minhaclaro&amp;utm_medium=banner_desktop&amp;utm_campaign=thiagonigro</t>
  </si>
  <si>
    <t>moto_g73_pre_pos_carrossel</t>
  </si>
  <si>
    <t>https://planoscelular.claro.com.br/claroCampaigns/subcampaign?sku=000000000000018447&amp;campaign=CBA&amp;subCampaign=&amp;paymentMethod=debitcard&amp;loyalty=true&amp;invoiceType=DIGITAL&amp;city=&amp;state=&amp;processType=migrate&amp;offerPlanId=22285&amp;smartphone=true&amp;utm_source=minhaclaro&amp;utm_medium=banner_aparelho_site&amp;utm_campaign=galaxy_a23_5g_128gb_ctr10gb_banner_aparelho_site</t>
  </si>
  <si>
    <t>MOTOG535G128GBPRECTRL</t>
  </si>
  <si>
    <t>moto_g53_pre_ctrl</t>
  </si>
  <si>
    <t>https://planoscelular.claro.com.br/claroCampaigns/subcampaign?sku=000000000000018530&amp;campaign=CBA&amp;subCampaign=&amp;paymentMethod=debitcard&amp;loyalty=true&amp;invoiceType=DIGITAL&amp;city=&amp;state=&amp;processType=migrate&amp;offerPlanId=22285&amp;smartphone=true&amp;utm_source=minhaclaro&amp;utm_medium=banner_aparelho_site&amp;utm_campaign=moto_g53_128gb_ctr10gb_banner_aparelho_site</t>
  </si>
  <si>
    <t>MOTOG535G128GBPOS</t>
  </si>
  <si>
    <t>moto_g53_pos</t>
  </si>
  <si>
    <t>https://planoscelular.claro.com.br/claroCampaigns/subcampaign?sku=000000000000018530&amp;campaign=CBA&amp;subCampaign=&amp;paymentMethod=debitcard&amp;loyalty=true&amp;invoiceType=DIGITAL&amp;city=&amp;state=&amp;processType=migrate&amp;offerPlanId=22375&amp;smartphone=true&amp;utm_source=minhaclaro&amp;utm_medium=banner_aparelho_site&amp;utm_campaign=moto_g53_128gb_pos200gb_banner_aparelho_site</t>
  </si>
  <si>
    <t>BANDALARGA500GLOBOPLAY194_POS</t>
  </si>
  <si>
    <t>banda_larga_500_globoplay_194_pos</t>
  </si>
  <si>
    <t>banner-residencial-2023-04-14</t>
  </si>
  <si>
    <t>https://planos.claro.com.br/checkout/dados-pessoais?affiliateId=r1zJOII0j&amp;tvId=595,599,607&amp;internetId=955,957&amp;utm_source=mcm&amp;utm_medium=banner-sofertas-app-pos&amp;utm_campaign=banner-sofertas-app-pos​</t>
  </si>
  <si>
    <t>https://planos.claro.com.br/checkout/dados-pessoais?affiliateId=r1zJOII0j&amp;tvId=595,599,607&amp;internetId=955,957&amp;utm_source=mcm&amp;utm_medium=banner-web-pos&amp;utm_campaign=banner-web-pos​</t>
  </si>
  <si>
    <t>BANDALARGA500GLOBOPLAY194_CTRL</t>
  </si>
  <si>
    <t>banda_larga_500_globoplay_194_ctrl</t>
  </si>
  <si>
    <t xml:space="preserve">https://planos.claro.com.br/checkout/dados-pessoais?affiliateId=r1zJOII0j&amp;tvId=595,599,607&amp;internetId=955,957&amp;utm_source=mcm&amp;utm_medium=banner-sofertas-app-ctl&amp;utm_campaign=banner-sofertas-app-ctl </t>
  </si>
  <si>
    <t>https://planos.claro.com.br/checkout/dados-pessoais?affiliateId=r1zJOII0j&amp;tvId=595,599,607&amp;internetId=955,957&amp;utm_source=mcm&amp;utm_medium=banner-web-ctr&amp;utm_campaign=banner-web-ctr​</t>
  </si>
  <si>
    <t>BANDALARGA500GLOBOPLAY194_PRE</t>
  </si>
  <si>
    <t>banda_larga_500_globoplay_194_pre</t>
  </si>
  <si>
    <t>https://planos.claro.com.br/checkout/dados-pessoais?affiliateId=r1zJOII0j&amp;tvId=595,599,607&amp;internetId=955,957 utm_source=mcm&amp;utm_medium=banner-sofertas-app-pre&amp;utm_campaign=banner-sofertas-app-pre​</t>
  </si>
  <si>
    <t>https://planos.claro.com.br/checkout/dados-pessoais?affiliateId=r1zJOII0j&amp;tvId=595,599,607&amp;internetId=955,957&amp;utm_source=mcm&amp;utm_medium=banner-web-pre&amp;utm_campaign=banner-web-pre​</t>
  </si>
  <si>
    <t>OFF-LINE</t>
  </si>
  <si>
    <t>ON-LINE</t>
  </si>
  <si>
    <t>https://planos.claro.com.br/checkout/dados-pessoais?affiliateId=r1zJOII0j&amp;internetId=691&amp;utm_source=mcm&amp;utm_medium=carrossel-ofertasexcs&amp;utm_campaign=mcm-carrossel-ofertasexc</t>
  </si>
  <si>
    <t>be93910f-eccb-4410-b7c1-c99648a6621f</t>
  </si>
  <si>
    <t>Moto G73: o smartphone 5G EXCLUSIVO da Claro</t>
  </si>
  <si>
    <t>no plano Pós 400GB</t>
  </si>
  <si>
    <t>CONTROLE,CONTROLE_FACIL,PÓS</t>
  </si>
  <si>
    <t>moto_g73</t>
  </si>
  <si>
    <t>https://planoscelular.claro.com.br/claroCampaigns/subcampaign?sku=000000000000018528&amp;campaign=CBA&amp;subCampaign=&amp;paymentMethod=debitcard&amp;loyalty=true&amp;invoiceType=DIGITAL&amp;city=&amp;state=&amp;processType=migrate&amp;offerPlanId=22375&amp;text=&amp;smartphone=true&amp;utm_source=minhaclaro-deckvendas&amp;utm_medium=oferta_segmentada_deck&amp;utm_campaign=oferta_segmentada_app_moto_g73_pos_200gb</t>
  </si>
  <si>
    <t>https://planoscelular.claro.com.br/claroCampaigns/subcampaign?sku=000000000000018528&amp;campaign=CBA&amp;subCampaign=&amp;paymentMethod=debitcard&amp;loyalty=true&amp;invoiceType=DIGITAL&amp;city=&amp;state=&amp;processType=migrate&amp;offerPlanId=22375&amp;text=&amp;smartphone=true&amp;utm_source=minhaclaro-deckvendas&amp;utm_medium=oferta_segmentada_deck&amp;utm_campaign=oferta_segmentada_site_moto_g73_pos_200gb</t>
  </si>
  <si>
    <t>9bb1f484-7d66-40ff-8e15-f31dd9a00c63</t>
  </si>
  <si>
    <t>iPhone 12 64GB : parcele em até 12x Sem Juros</t>
  </si>
  <si>
    <t>iphone_12</t>
  </si>
  <si>
    <t>https://planoscelular.claro.com.br/claroCampaigns/subcampaign?sku=000000000000018005&amp;campaign=CBA&amp;subCampaign=&amp;paymentMethod=debitcard&amp;loyalty=true&amp;invoiceType=DIGITAL&amp;city=&amp;state=&amp;processType=migrate&amp;offerPlanId=22375&amp;text=&amp;smartphone=true&amp;utm_source=minhaclaro-deckvendas&amp;utm_medium=oferta_segmentada_deck&amp;utm_campaign=oferta_segmentada_app_iphone_12_pos_200gb</t>
  </si>
  <si>
    <t>https://planoscelular.claro.com.br/claroCampaigns/subcampaign?sku=000000000000018005&amp;campaign=CBA&amp;subCampaign=&amp;paymentMethod=debitcard&amp;loyalty=true&amp;invoiceType=DIGITAL&amp;city=&amp;state=&amp;processType=migrate&amp;offerPlanId=22375&amp;text=&amp;smartphone=true&amp;utm_source=minhaclaro-deckvendas&amp;utm_medium=oferta_segmentada_deck&amp;utm_campaign=oferta_segmentada_site_iphone_12_pos_200gb</t>
  </si>
  <si>
    <t>5e6004e2-d7a2-11ed-afa1-0242ac120002</t>
  </si>
  <si>
    <t>Smartphones</t>
  </si>
  <si>
    <t>controle_20gb_pre_pago</t>
  </si>
  <si>
    <t>77,92</t>
  </si>
  <si>
    <t>https://planoscelular.claro.com.br/claroCampaigns/subcampaign?sku=000000000000018449&amp;campaign=CBA&amp;subCampaign=&amp;paymentMethod=debitcard&amp;loyalty=true&amp;invoiceType=DIGITAL&amp;city=&amp;state=&amp;processType=migrate&amp;offerPlanId=22285&amp;smartphone=true</t>
  </si>
  <si>
    <t>Moto G60S 128GB</t>
  </si>
  <si>
    <t>MOTOG60S128GB</t>
  </si>
  <si>
    <t>2.389,00</t>
  </si>
  <si>
    <t>claro_0_motorola_g60s_verde.png</t>
  </si>
  <si>
    <t>moto_g60s_128gb</t>
  </si>
  <si>
    <t>https://planoscelular.claro.com.br/claroCampaigns/subcampaign?sku=000000000000018049&amp;campaign=CBA&amp;subCampaign=&amp;paymentMethod=debitcard&amp;loyalty=true&amp;invoiceType=DIGITAL&amp;city=&amp;state=&amp;processType=migrate&amp;offerPlanId=22285&amp;smartphone=true</t>
  </si>
  <si>
    <t>iPhone 12 128GB</t>
  </si>
  <si>
    <t>IPHONE12128GB</t>
  </si>
  <si>
    <t>5.589,00</t>
  </si>
  <si>
    <t>iphone_12_128gb</t>
  </si>
  <si>
    <t>https://planoscelular.claro.com.br/claroCampaigns/subcampaign?sku=000000000000018001&amp;campaign=CBA&amp;subCampaign=&amp;paymentMethod=debitcard&amp;loyalty=true&amp;invoiceType=DIGITAL&amp;city=&amp;state=&amp;processType=migrate&amp;offerPlanId=22285&amp;smartphone=true</t>
  </si>
  <si>
    <t>https://planoscelular.claro.com.br/claroCampaigns/subcampaign?sku=000000000000018049&amp;campaign=CBA&amp;subCampaign=&amp;paymentMethod=debitcard&amp;loyalty=true&amp;invoiceType=DIGITAL&amp;city=&amp;state=&amp;processType=migrate&amp;offerPlanId=22382&amp;smartphone=true</t>
  </si>
  <si>
    <t>Galaxy S23 Ultra 5G 256GB</t>
  </si>
  <si>
    <t>Moto Edge 20 Pro 256GB</t>
  </si>
  <si>
    <t>claro_0_motorola_edge20_pro_thunder_black.png</t>
  </si>
  <si>
    <t>https://planoscelular.claro.com.br/claroCampaigns/subcampaign?sku=000000000000018001&amp;campaign=CBA&amp;subCampaign=&amp;paymentMethod=debitcard&amp;loyalty=true&amp;invoiceType=DIGITAL&amp;city=&amp;state=&amp;processType=migrate&amp;offerPlanId=22382&amp;smartphone=true</t>
  </si>
  <si>
    <t>"codCampanha": "ECOMMABRIL23",</t>
  </si>
  <si>
    <t>MIGRACAOCTRL15GB</t>
  </si>
  <si>
    <t>banner_home_15GB_ctrl</t>
  </si>
  <si>
    <t>banner-migracao-controle-15GB-MCM-desk.png</t>
  </si>
  <si>
    <t>banner-migracao-controle-15GB-MCM-mobile.png</t>
  </si>
  <si>
    <t xml:space="preserve">https://planoscelular.claro.com.br/claro/pt/offer-plan/externalUri?offerPlanId=22283&amp;coupon=8e1766a6de410ed72eddbd55c5490a7f03b2e5c804e41b7fc4def0dd8604ed4a&amp;msisdn=msisdn&amp;targetCampaign=migra&amp;paymentMethod=debitcard&amp;loyalty=true&amp;invoiceType=DIGITAL&amp;processType=MIGRATE&amp;utm_source=minhaclaro-home_web&amp;utm_medium=banner&amp;utm_campaign=novoecom_BannerSite_15GB </t>
  </si>
  <si>
    <t>MIGRACAOPOS50GB</t>
  </si>
  <si>
    <t>banner_home_50GB_pos</t>
  </si>
  <si>
    <t>banner-migracao-pos-50GB-MCM-desk.png</t>
  </si>
  <si>
    <t>banner-migracao-pos-50GB-MCM-mobile.png</t>
  </si>
  <si>
    <t xml:space="preserve">https://planoscelular.claro.com.br/claro/pt/offer-plan/externalUri?offerPlanId=22382&amp;coupon=51c9f3bbefda4a4fa7be62f9a041b38a&amp;msisdn=msisdn&amp;targetCampaign=migra&amp;paymentMethod=debitcard&amp;loyalty=true&amp;invoiceType=DIGITAL&amp;processType=MIGRATE&amp;utm_source=minhaclaro-home_web&amp;utm_medium=banner&amp;utm_campaign=novoecom_BannerSite_50GB </t>
  </si>
  <si>
    <t>BANNER15GBPRE</t>
  </si>
  <si>
    <t>Controle 15GB Pre Pago</t>
  </si>
  <si>
    <t>Controle 15GB Pré Pago</t>
  </si>
  <si>
    <t>controle_15gb_pre_pago</t>
  </si>
  <si>
    <t xml:space="preserve">https://planoscelular.claro.com.br/claro/pt/offer-plan/externalUri?offerPlanId=22283&amp;coupon=8e1766a6de410ed72eddbd55c5490a7f03b2e5c804e41b7fc4def0dd8604ed4a&amp;msisdn=msisdn&amp;targetCampaign=migra&amp;paymentMethod=debitcard&amp;loyalty=true&amp;invoiceType=DIGITAL&amp;processType=MIGRATE&amp;utm_source=minhaclaro-deckvendas_App&amp;utm_medium=banner&amp;utm_campaign=novoecom_BannerDeckApp_15GB </t>
  </si>
  <si>
    <t xml:space="preserve">https://planoscelular.claro.com.br/claro/pt/offer-plan/externalUri?offerPlanId=22283&amp;coupon=8e1766a6de410ed72eddbd55c5490a7f03b2e5c804e41b7fc4def0dd8604ed4a&amp;msisdn=msisdn&amp;targetCampaign=migra&amp;paymentMethod=debitcard&amp;loyalty=true&amp;invoiceType=DIGITAL&amp;processType=MIGRATE&amp;utm_source=minhaclaro-deckvendas_web&amp;utm_medium=banner&amp;utm_campaign=novoecom_BannerDeckApp_15GB </t>
  </si>
  <si>
    <t>b33e23f0-009e-4669-ac0b-b9e3489dea47</t>
  </si>
  <si>
    <t>ee43e543-25ad-4557-bbba-c66c86dff8cb</t>
  </si>
  <si>
    <t>MOTOG60S_PRE_CONTROLE</t>
  </si>
  <si>
    <t>Moto G60 S Controle 20GB</t>
  </si>
  <si>
    <t>Moto G60S no Plano Controle 20GB</t>
  </si>
  <si>
    <t>banner-outlet-Moto-G60s-Controle-deck</t>
  </si>
  <si>
    <t>moto_g60_s_controle_20gb</t>
  </si>
  <si>
    <t>https://planoscelular.claro.com.br/claroCampaigns/subcampaign?sku=000000000000018048&amp;campaign=CBA&amp;subCampaign=&amp;paymentMethod=debitcard&amp;loyalty=true&amp;invoiceType=DIGITAL&amp;city=&amp;state=&amp;processType=migrate&amp;offerPlanId=22285&amp;text=&amp;smartphone=true&amp;utm_source=minhaclaro-deckvendas_app&amp;utm_medium=banner-cliente_deck&amp;utm_campaign=bannerdecksmartphone</t>
  </si>
  <si>
    <t>https://planoscelular.claro.com.br/claroCampaigns/subcampaign?sku=000000000000018048&amp;campaign=CBA&amp;subCampaign=&amp;paymentMethod=debitcard&amp;loyalty=true&amp;invoiceType=DIGITAL&amp;city=&amp;state=&amp;processType=migrate&amp;offerPlanId=22285&amp;text=&amp;smartphone=true&amp;utm_source=minhaclaro-deckvendas_site&amp;utm_medium=banner-cliente_deck&amp;utm_campaign=bannerdecksmartphone</t>
  </si>
  <si>
    <t>MOTOEDGE20PRO_POS</t>
  </si>
  <si>
    <t>Moto Edge 20 Pós 400GB</t>
  </si>
  <si>
    <t>Moto Edge 20 Pro no Pós 400GB</t>
  </si>
  <si>
    <t>banner-outlet-Moto-edge20-pos-deck</t>
  </si>
  <si>
    <t>moto_edge_20_pós_400gb</t>
  </si>
  <si>
    <t>https://planoscelular.claro.com.br/claroCampaigns/subcampaign?sku=000000000000018043&amp;campaign=CBA&amp;subCampaign=&amp;paymentMethod=debitcard&amp;loyalty=true&amp;invoiceType=DIGITAL&amp;city=&amp;state=&amp;processType=migrate&amp;offerPlanId=22375&amp;text=&amp;smartphone=true&amp;utm_source=minhaclaro-deckvendas_app&amp;utm_medium=banner-cliente_deck&amp;utm_campaign=bannerdecksmartphone</t>
  </si>
  <si>
    <t>https://planoscelular.claro.com.br/claroCampaigns/subcampaign?sku=000000000000018043&amp;campaign=CBA&amp;subCampaign=&amp;paymentMethod=debitcard&amp;loyalty=true&amp;invoiceType=DIGITAL&amp;city=&amp;state=&amp;processType=migrate&amp;offerPlanId=22375&amp;text=&amp;smartphone=true&amp;utm_source=minhaclaro-deckvendas_site&amp;utm_medium=banner-cliente_deck&amp;utm_campaign=bannerdecksmartphone</t>
  </si>
  <si>
    <t>dff8d263-98de-41fd-932d-4c6e04f7674d</t>
  </si>
  <si>
    <t>BANNER50GBCTRL</t>
  </si>
  <si>
    <t>Pós 50GB Controle</t>
  </si>
  <si>
    <t>banner-migracao-pos-50GB-deck</t>
  </si>
  <si>
    <t>pós_50gb_controle</t>
  </si>
  <si>
    <t>https://planoscelular.claro.com.br/claro/pt/offer-plan/externalUri?offerPlanId=22382&amp;coupon=51c9f3bbefda4a4fa7be62f9a041b38a&amp;msisdn=msisdn&amp;targetCampaign=migra&amp;paymentMethod=debitcard&amp;loyalty=true&amp;invoiceType=DIGITAL&amp;processType=MIGRATE&amp;utm_source=minhaclaro-deckvendas_App&amp;utm_medium=banner&amp;utm_campaign=novoecom_BannerDeckApp_50GB</t>
  </si>
  <si>
    <t>https://planoscelular.claro.com.br/claro/pt/offer-plan/externalUri?offerPlanId=22382&amp;coupon=51c9f3bbefda4a4fa7be62f9a041b38a&amp;msisdn=msisdn&amp;targetCampaign=migra&amp;paymentMethod=debitcard&amp;loyalty=true&amp;invoiceType=DIGITAL&amp;processType=MIGRATE&amp;utm_source=minhaclaro-deckvendas_web&amp;utm_medium=banner&amp;utm_campaign=novoecom_BannerDeckApp_50GB</t>
  </si>
  <si>
    <t xml:space="preserve"> "nomeLambda": "</t>
  </si>
  <si>
    <t>banner-off-promo-moto-G53-5G-atualizacao-valor-controle-MCM-desk.png</t>
  </si>
  <si>
    <t>banner-off-promo-moto-G53-5G-atualizacao-valor-controle-MCM-mobile.png</t>
  </si>
  <si>
    <t>banner-off-promo-moto-G53-5G-atualizacao-valor-pos-MCM-desk.png</t>
  </si>
  <si>
    <t>banner-off-promo-moto-G53-5G-atualizacao-valor-pos-MCM-mobile.png</t>
  </si>
  <si>
    <t>claro_0_samsung_s23_Ultra_5G_preto.png</t>
  </si>
  <si>
    <t>OBS</t>
  </si>
  <si>
    <t>https://assets.clarobrasil.mobi/ecommerce-config/sales-deck/claro_0_motorola_G73_5G_azul.png</t>
  </si>
  <si>
    <t>https://assets.clarobrasil.mobi/ecommerce-config/sales-deck/claro_0_samsung_A23_5G_preto.png</t>
  </si>
  <si>
    <t>https://assets.clarobrasil.mobi/ecommerce-config/sales-deck/claro_0_motorola_E22_128GB_dark_grove.png</t>
  </si>
  <si>
    <t>https://assets.clarobrasil.mobi/ecommerce-config/sales-deck/claro_0_samsung_s23_Ultra_5G_preto.png</t>
  </si>
  <si>
    <t>https://assets.clarobrasil.mobi/ecommerce-config/sales-deck/claro_0_apple_iphone13_midnight.png</t>
  </si>
  <si>
    <t>iPhone 12 64GB</t>
  </si>
  <si>
    <t>https://assets.clarobrasil.mobi/ecommerce-config/sales-deck/claro_0_apple_iphone12_64GB_preto.png</t>
  </si>
  <si>
    <t>https://assets.clarobrasil.mobi/ecommerce-config/sales-deck/claro_0_motorola_G23_grafite.png</t>
  </si>
  <si>
    <t>https://assets.clarobrasil.mobi/ecommerce-config/sales-deck/claro_0_motorola_G53_5G_grafite.png</t>
  </si>
  <si>
    <t>https://assets.clarobrasil.mobi/ecommerce-config/sales-deck/claro_0_samsung_A04E_4G_preto.png</t>
  </si>
  <si>
    <t>https://assets.clarobrasil.mobi/ecommerce-config/sales-deck/claro_0_samsung_s23_5G_preto.png</t>
  </si>
  <si>
    <t>https://assets.clarobrasil.mobi/ecommerce-config/sales-deck/claro_0_samsung_A14_5G_preto.png</t>
  </si>
  <si>
    <t>memória em dobro</t>
  </si>
  <si>
    <t>https://assets.clarobrasil.mobi/ecommerce-config/sales-deck/claro_0_samsung_s23_Ultra_5G_preto_selo_brinde_dobro_memoria.png</t>
  </si>
  <si>
    <t>https://assets.clarobrasil.mobi/ecommerce-config/sales-deck/claro_0_motorola_edge30_grafite.png</t>
  </si>
  <si>
    <t>https://assets.clarobrasil.mobi/ecommerce-config/sales-deck/claro_0_motorola_edge20_pro_thunder_black.png</t>
  </si>
  <si>
    <t>https://assets.clarobrasil.mobi/ecommerce-config/sales-deck/claro_0_motorola_g60s_verde.png</t>
  </si>
  <si>
    <t>monitor ou fone</t>
  </si>
  <si>
    <t>https://assets.clarobrasil.mobi/ecommerce-config/sales-deck/claro_0_samsung_s23_Ultra_5G_preto_brinde_monitor_fone.png</t>
  </si>
  <si>
    <t>MCAP_CTRL.jpg</t>
  </si>
  <si>
    <t>MCAP_POS.jpg</t>
  </si>
  <si>
    <t>410660e2-e017-47ea-8e80-33a283063d3c</t>
  </si>
  <si>
    <t>502ac7aa-6b92-43ac-b7ed-c3eca82b66df</t>
  </si>
  <si>
    <t>861ca097-502e-4ea2-a873-e0b086edd964</t>
  </si>
  <si>
    <t>509c8153-fb2d-46ff-b672-c1f2fb851b74</t>
  </si>
  <si>
    <t>00262c7b-c372-4ad2-aab9-ed6202146659</t>
  </si>
  <si>
    <t>d94fba17-5281-4a90-b2fa-9949bd03061a</t>
  </si>
  <si>
    <t>16cf425c-e602-4874-a152-dbacbf0ee0b6</t>
  </si>
  <si>
    <t>aa50b7ac-4654-4c27-9775-3a23a04b3cd8</t>
  </si>
  <si>
    <t>f5fc8541-0c8e-44fe-ae5d-4971d39a0a64</t>
  </si>
  <si>
    <t>e532ec62-17ff-407a-a177-701e3ca8ee8f</t>
  </si>
  <si>
    <t>74b76d50-6269-47d6-82de-7643609d3c9e</t>
  </si>
  <si>
    <t>78109f12-b456-47bc-a8cd-48cfcae1dae8</t>
  </si>
  <si>
    <t>8ab46cee-b29f-44f4-a0ce-9f6af78a56af</t>
  </si>
  <si>
    <t>fcde1f2d-fac8-49f0-b4e3-a8fd6a24fadb</t>
  </si>
  <si>
    <t>ff39817d-cfd9-4c80-b6a7-594751bc192d</t>
  </si>
  <si>
    <t>e08ca72a-9421-4ef0-88d1-59381c8a75ea</t>
  </si>
  <si>
    <t>BANDALARGAPROMOAPP_PRE</t>
  </si>
  <si>
    <t>banda_larga_promoapp_125mega_pre</t>
  </si>
  <si>
    <t>https://planos.claro.com.br/checkout/dados-pessoais?affiliateId=r1zJOII0j&amp;tvId=611&amp;internetId=983&amp;utm_source=mcm&amp;utm_medium=banner-sofertas&amp;utm_campaign=mcm-pre-banner-sofertas-appwek</t>
  </si>
  <si>
    <t>https://planos.claro.com.br/checkout/dados-pessoais?affiliateId=r1zJOII0j&amp;internetId=983&amp;utm_source=mcm&amp;utm_medium=banner-web&amp;utm_campaign=mcm-pre-banner-web-appwek.</t>
  </si>
  <si>
    <t>de8fa40f-7705-408d-92f7-38e14126a4e8</t>
  </si>
  <si>
    <t>BANDALARGAPROMOAPP_CONTROLE</t>
  </si>
  <si>
    <t>banda_larga_promoapp_125mega_ctrl</t>
  </si>
  <si>
    <t>https://planos.claro.com.br/checkout/dados-pessoais?affiliateId=r1zJOII0j&amp;tvId=611&amp;internetId=983&amp;utm_source=mcm&amp;utm_medium=banner-sofertas&amp;utm_campaign=mcm-ctr-banner-sofertas-appwek</t>
  </si>
  <si>
    <t>b648382a-f823-444c-9e07-624de24f0f20</t>
  </si>
  <si>
    <t>BANDALARGAPROMOAPP_POS</t>
  </si>
  <si>
    <t>banda_larga_promoapp_125mega_pos</t>
  </si>
  <si>
    <t>https://planos.claro.com.br/checkout/dados-pessoais?affiliateId=r1zJOII0j&amp;internetId=983&amp;utm_source=mcm&amp;utm_medium=banner-web&amp;utm_campaign=mcm-pos-banner-web-appwek.</t>
  </si>
  <si>
    <t>GALAXYS235G128GB</t>
  </si>
  <si>
    <t>3.939,00</t>
  </si>
  <si>
    <t>https://planoscelular.claro.com.br/claroCampaigns/subcampaign?sku=000000000000018463&amp;campaign=CBA&amp;subCampaign=&amp;paymentMethod=debitcard&amp;loyalty=true&amp;invoiceType=DIGITAL&amp;city=&amp;state=&amp;processType=migrate&amp;offerPlanId=22382&amp;smartphone=true</t>
  </si>
  <si>
    <t>2.739,00</t>
  </si>
  <si>
    <t>https://planoscelular.claro.com.br/claroCampaigns/subcampaign?sku=000000000000018463&amp;campaign=CBA&amp;subCampaign=&amp;paymentMethod=debitcard&amp;loyalty=true&amp;invoiceType=DIGITAL&amp;city=&amp;state=&amp;processType=migrate&amp;offerPlanId=22375&amp;smartphone=true</t>
  </si>
  <si>
    <t xml:space="preserve">  \"TAG\": \"acessorios:</t>
  </si>
  <si>
    <t>BAIXEPROMOAPP</t>
  </si>
  <si>
    <t>baixe_promoapp</t>
  </si>
  <si>
    <t>banner-home-baixe-promoapp-desk.png</t>
  </si>
  <si>
    <t>banner-home-baixe-promoapp-mobile.png</t>
  </si>
  <si>
    <t>https://www.claro.com.br/minha-claro</t>
  </si>
  <si>
    <t>MOTOG23_PROMOAPP_PRECTRL</t>
  </si>
  <si>
    <t>Promo App Moto G23</t>
  </si>
  <si>
    <t>banner-promo-app-motog23-controle-deck</t>
  </si>
  <si>
    <t>promo_app_moto_g23</t>
  </si>
  <si>
    <t>https://planoscelular.claro.com.br/claroCampaigns/subcampaign?sku=000000000000018525&amp;campaign=CBA&amp;subCampaign=&amp;paymentMethod=debitcard&amp;loyalty=true&amp;invoiceType=DIGITAL&amp;city=&amp;state=&amp;processType=migrate&amp;offerPlanId=22285&amp;text=&amp;smartphone=true&amp;utm_source=minhaclaro-deckvendas_app&amp;utm_medium=banner-cliente_deck&amp;utm_campaign=bannerdecksmartphone</t>
  </si>
  <si>
    <t>https://planoscelular.claro.com.br/claroCampaigns/subcampaign?sku=000000000000018525&amp;campaign=CBA&amp;subCampaign=&amp;paymentMethod=debitcard&amp;loyalty=true&amp;invoiceType=DIGITAL&amp;city=&amp;state=&amp;processType=migrate&amp;offerPlanId=22285&amp;text=&amp;smartphone=true&amp;utm_source=minhaclaro-deckvendas_site&amp;utm_medium=banner-cliente_deck&amp;utm_campaign=bannerdecksmartphone</t>
  </si>
  <si>
    <t>https://planoscelular.claro.com.br/claroCampaigns/subcampaign?sku=000000000000018525&amp;campaign=CBA&amp;subCampaign=&amp;paymentMethod=debitcard&amp;loyalty=true&amp;invoiceType=DIGITAL&amp;city=&amp;state=&amp;processType=migrate&amp;offerPlanId=22375&amp;text=&amp;smartphone=true&amp;utm_source=minhaclaro-deckvendas_site&amp;utm_medium=banner-cliente_deck&amp;utm_campaign=bannerdecksmartphone</t>
  </si>
  <si>
    <t>banner-MCM-promoapp-20230425-deck</t>
  </si>
  <si>
    <t>https://planos.claro.com.br/checkout/dados-pessoais?affiliateId=r1zJOII0j&amp;internetId=983&amp;utm_source=mcm&amp;utm_medium=banner-web&amp;utm_campaign=mcm-ctr-banner-web-appwek.</t>
  </si>
  <si>
    <t>https://planos.claro.com.br/checkout/dados-pessoais?affiliateId=r1zJOII0j&amp;tvId=611&amp;internetId=983&amp;utm_source=mcm&amp;utm_medium=banner-sofertas&amp;utm_campaign=mcm-pos-banner-sofertas-appwek.</t>
  </si>
  <si>
    <t>0da0a017-004d-476f-832e-1f2a227a892c</t>
  </si>
  <si>
    <t>MOTOG60S_POS</t>
  </si>
  <si>
    <t>Moto G60s Pós 400GB</t>
  </si>
  <si>
    <t>banner-outlet-Moto-G60s-pos-deck</t>
  </si>
  <si>
    <t>moto_g60s_pós_400gb</t>
  </si>
  <si>
    <t>https://planoscelular.claro.com.br/claroCampaigns/subcampaign?sku=000000000000018049&amp;campaign=CBA&amp;subCampaign=&amp;paymentMethod=debitcard&amp;loyalty=true&amp;invoiceType=DIGITAL&amp;city=&amp;state=&amp;processType=migrate&amp;offerPlanId=22375&amp;text=&amp;smartphone=true&amp;utm_source=minhaclaro-deckvendas_app&amp;utm_medium=banner-cliente_deck&amp;utm_campaign=bannerdecksmartphone</t>
  </si>
  <si>
    <t>https://planoscelular.claro.com.br/claroCampaigns/subcampaign?sku=000000000000018049&amp;campaign=CBA&amp;subCampaign=&amp;paymentMethod=debitcard&amp;loyalty=true&amp;invoiceType=DIGITAL&amp;city=&amp;state=&amp;processType=migrate&amp;offerPlanId=22375&amp;text=&amp;smartphone=true&amp;utm_source=minhaclaro-deckvendas_site&amp;utm_medium=banner-cliente_deck&amp;utm_campaign=bannerdecksmartphone</t>
  </si>
  <si>
    <t>d09f9e45-cb6a-4399-a360-0b2e9a858a9d</t>
  </si>
  <si>
    <t>Geonav</t>
  </si>
  <si>
    <t>Carregador Geonav 20W USB</t>
  </si>
  <si>
    <t>CARREGADORGEONAV20WUSB</t>
  </si>
  <si>
    <t>109,00</t>
  </si>
  <si>
    <t>claro_0_GEONAV_Carregador_Parede_Super_Power_20w_USB_BRANCO.png</t>
  </si>
  <si>
    <t>carregador_geonav_20w_usb</t>
  </si>
  <si>
    <t>https://planoscelular.claro.com.br/Cat%C3%A1logo-de-Planos/Acess%C3%B3rios/CARREGADOR-PAREDE-GEONAV-20W/p/000000000000062313?utm_source=minhaclaro-deckvendas&amp;utm_medium=carrossel_deck&amp;utm_campaign=acessorios_deck_carregador_usb20w_geonav</t>
  </si>
  <si>
    <t>ba795cb5-0dfe-49d1-b9df-ab421358443c</t>
  </si>
  <si>
    <t>Carregador Veicular Geonav</t>
  </si>
  <si>
    <t>CARREGADORVEICULARGEONAV</t>
  </si>
  <si>
    <t>49,00</t>
  </si>
  <si>
    <t>claro_0_GEONAV_Carregador_Veicular_2_saidas_USB_Essential_PRETO.png</t>
  </si>
  <si>
    <t>carregador_veicular_geonav</t>
  </si>
  <si>
    <t>https://planoscelular.claro.com.br/Cat%C3%A1logo-de-Planos/Acess%C3%B3rios/CARREGADOR-VEICULAR-GEONAV-USB/p/000000000000062317?utm_source=minhaclaro-deckvendas&amp;utm_medium=carrossel_deck&amp;utm_campaign=acessorios_deck_carregador_veicular_geonav</t>
  </si>
  <si>
    <t>12a26ecd-6e89-4857-b176-e5e55d5b5624</t>
  </si>
  <si>
    <t>JBL</t>
  </si>
  <si>
    <t>Headphone Bluetooth T510 JBL</t>
  </si>
  <si>
    <t>HEADPHONEBLUETOOTHT510JBL</t>
  </si>
  <si>
    <t>229,00</t>
  </si>
  <si>
    <t>claro_0_JBL_headphone_bluetooth_T510_branco.png</t>
  </si>
  <si>
    <t>headphone_bluetooth_t510_jbl</t>
  </si>
  <si>
    <t>https://planoscelular.claro.com.br/Cat%C3%A1logo-de-Planos/Acess%C3%B3rios/HEADPHONE-BLUETOOTH-T510-JBL/p/000000000000062370?utm_source=minhaclaro-deckvendas&amp;utm_medium=carrossel_deck&amp;utm_campaign=acessorios_deck_headphone_t510_jbl</t>
  </si>
  <si>
    <t>0213edb2-27a4-459c-85b7-113ce6a02670</t>
  </si>
  <si>
    <t>Fone de Ouvido JBL C50</t>
  </si>
  <si>
    <t>FONEDEOUVIDOJBLC50</t>
  </si>
  <si>
    <t>claro_0_JBL_fone_de_ouvido_com_fio_C50_preto.png</t>
  </si>
  <si>
    <t>fone_de_ouvido_jbl_c50</t>
  </si>
  <si>
    <t>4f6955c5-e814-4e0e-9051-78f9e7c25966</t>
  </si>
  <si>
    <t>Caixa de som bluetooth GO3 JBL</t>
  </si>
  <si>
    <t>CAIXADESOMBLUETOOTHGO3JBL</t>
  </si>
  <si>
    <t>claro_0_JBL_caixa_de_som_bluetooth_GO3_preto.png</t>
  </si>
  <si>
    <t>caixa_de_som_bluetooth_go3_jbl</t>
  </si>
  <si>
    <t>URL APP</t>
  </si>
  <si>
    <t>URL SITE</t>
  </si>
  <si>
    <t>MAILINGAFTER</t>
  </si>
  <si>
    <t>MAILINGFIRST</t>
  </si>
  <si>
    <t>DATAINICIO</t>
  </si>
  <si>
    <t>DATAFIM</t>
  </si>
  <si>
    <t>e008a5b6-c082-4c37-8509-b3460634c459</t>
  </si>
  <si>
    <t>77fb7673-72b7-41fa-a121-9f12da407ec7</t>
  </si>
  <si>
    <t>609f7322-18b3-4393-adda-a5fcf2aa40d2</t>
  </si>
  <si>
    <t>46bf294a-e00c-4079-8954-f0dffe2d76bc</t>
  </si>
  <si>
    <t>5347f8e2-3a87-4826-b8af-c19522189a0a</t>
  </si>
  <si>
    <t>PLANO15GBPROMOAPP_PRE</t>
  </si>
  <si>
    <t>Promo App Controle 15GB Pre Pago</t>
  </si>
  <si>
    <t>banner-migracao-controle-15GB-PROMO-APP-deck</t>
  </si>
  <si>
    <t>promo_app_controle_15gb_pre_pago</t>
  </si>
  <si>
    <t>69,00</t>
  </si>
  <si>
    <t>259,00</t>
  </si>
  <si>
    <t>MOTOG735G_MAES_CTRL</t>
  </si>
  <si>
    <t>Moto G73 5G 128GB Maes Ctrl</t>
  </si>
  <si>
    <t>banner-maes-motog73-controle-deck</t>
  </si>
  <si>
    <t>moto_g73_5g_128gb_maes_ctrl</t>
  </si>
  <si>
    <t>MOTOG735G_MAES_POS</t>
  </si>
  <si>
    <t>Moto G73 5G 128GB Maes Pos</t>
  </si>
  <si>
    <t>moto_g73_5g_128gb_maes_pos</t>
  </si>
  <si>
    <t>Dia da Mães Claro</t>
  </si>
  <si>
    <t>https://planoscelular.claro.com.br/claroCampaigns/subcampaign?sku=000000000000018519&amp;campaign=CBA&amp;subCampaign=&amp;paymentMethod=debitcard&amp;loyalty=true&amp;invoiceType=DIGITAL&amp;city=&amp;state=&amp;processType=migrate&amp;offerPlanId=22375&amp;smartphone=true</t>
  </si>
  <si>
    <t>galaxy_s23_5g_128gb</t>
  </si>
  <si>
    <t>PÓS</t>
  </si>
  <si>
    <t>5606bb5c-3208-45a4-a137-d71e761eb7af</t>
  </si>
  <si>
    <t>SESSAOPLANOPRE</t>
  </si>
  <si>
    <t>esporte</t>
  </si>
  <si>
    <t>Serviços exclusivos para ler, assistir vídeos e se manter atualizado</t>
  </si>
  <si>
    <t>atividade</t>
  </si>
  <si>
    <t>Apps ilimitados para vocês se comunicar, se divertir e se deslocar</t>
  </si>
  <si>
    <t>MUDE PARA CONTROLE</t>
  </si>
  <si>
    <t>Mais vantagens para &lt;span class='redText'&gt;você!&lt;/span&gt;</t>
  </si>
  <si>
    <t>SESSAOPLANOCONTROLE</t>
  </si>
  <si>
    <t>e7e7e990-dfe0-43d0-a6e5-d16c7d66e921</t>
  </si>
  <si>
    <t>MUDE PARA PÓS</t>
  </si>
  <si>
    <t xml:space="preserve"> "defaultMetaData": "{  \"TAG\": \"mudeseuplano:</t>
  </si>
  <si>
    <t>clientepre</t>
  </si>
  <si>
    <t>clientecontrole</t>
  </si>
  <si>
    <t>clientepos</t>
  </si>
  <si>
    <t>https://planoscelular.claro.com.br/claro/pt/offer-plan/externalUri?offerPlanId=22382&amp;coupon=51c9f3bbefda4a4fa7be62f9a041b38a&amp;msisdn=msisdn&amp;targetCampaign=migra&amp;paymentMethod=debitcard&amp;loyalty=true&amp;invoiceType=DIGITAL&amp;processType=MIGRATE&amp;utm_source=minhaclaro-deckvendas_web&amp;utm_medium=plppos-clientecontrole&amp;utm_campaign=gatilhomudeseuplano</t>
  </si>
  <si>
    <t>https://planoscelular.claro.com.br/claro/pt/offer-plan/externalUri?offerPlanId=22285&amp;coupon=b0faa2bc06d9836abf066270adfe25308348858cfe6301c3a36bb6a12eff728b&amp;msisdn=msisdn&amp;targetCampaign=migra&amp;paymentMethod=debitcard&amp;loyalty=true&amp;invoiceType=DIGITAL&amp;processType=MIGRATE&amp;utm_source=minhaclaro-deckvendas_web&amp;utm_medium=plppos-clientepre&amp;utm_campaign=gatilhomudeseuplano</t>
  </si>
  <si>
    <t>Mude para Pós</t>
  </si>
  <si>
    <t>Mude para Controle</t>
  </si>
  <si>
    <t>https://planoscelular.claro.com.br/Cat%C3%A1logo-de-Planos/Acess%C3%B3rios/CARREGADOR-PAREDE-GEONAV-20W/p/000000000000062313</t>
  </si>
  <si>
    <t>?utm_source=minhaclaro-deckvendas-acessorios_web</t>
  </si>
  <si>
    <t>?utm_source=minhaclaro-deckvendas-acessorios_app</t>
  </si>
  <si>
    <t>https://planoscelular.claro.com.br/Cat%C3%A1logo-de-Planos/Acess%C3%B3rios/CARREGADOR-VEICULAR-GEONAV-USB/p/000000000000062317</t>
  </si>
  <si>
    <t>https://planoscelular.claro.com.br/Cat%C3%A1logo-de-Planos/Acess%C3%B3rios/HEADPHONE-BLUETOOTH-T510-JBL/p/000000000000062370</t>
  </si>
  <si>
    <t>https://planoscelular.claro.com.br/Cat%C3%A1logo-de-Planos/Acess%C3%B3rios/FONE-DE-OUVIDO-COM-FIO-C50-JBL/p/000000000000062377</t>
  </si>
  <si>
    <t>https://planoscelular.claro.com.br/Cat%C3%A1logo-de-Planos/Acess%C3%B3rios/CAIXA-DE-SOM-BLUETOOTH-GO3-JBL/p/000000000000062367</t>
  </si>
  <si>
    <t>90a3948d-3b01-4ec6-bd86-4d06df0866f7</t>
  </si>
  <si>
    <t>PROMOCLAROCLUBE</t>
  </si>
  <si>
    <t>promo_claro_clube</t>
  </si>
  <si>
    <t>Banner_site_movel_1120_x_200.jpg</t>
  </si>
  <si>
    <t>banner_site_movel_320_x_200_V2.png</t>
  </si>
  <si>
    <t>https://www.claro.com.br/produtosclaro/promocaoclaroclube/</t>
  </si>
  <si>
    <t>banner-maes-motog735g-pos-deck</t>
  </si>
  <si>
    <t>pre_venda_galaxy_s23</t>
  </si>
  <si>
    <t>moto_g73_5g_128gb_ctrl_pre</t>
  </si>
  <si>
    <t>Dia das Mães</t>
  </si>
  <si>
    <t>Promoção Dia das Mães</t>
  </si>
  <si>
    <t>vitrine exclusiva</t>
  </si>
  <si>
    <t>51bc6cff-9f36-42a3-b658-2bf76999e666</t>
  </si>
  <si>
    <t>076c23bb-d013-4286-aa1d-729d4f85b9ed</t>
  </si>
  <si>
    <t xml:space="preserve">                          </t>
  </si>
  <si>
    <t>Moto Edge 30 Neo 256GB</t>
  </si>
  <si>
    <t>MOTOEDGE30NEO256GB</t>
  </si>
  <si>
    <t>2.789,00</t>
  </si>
  <si>
    <t>claro_0_motorola_edge30_neo_preto.png</t>
  </si>
  <si>
    <t>https://planoscelular.claro.com.br/claroCampaigns/subcampaign?sku=000000000000018368&amp;campaign=CBA&amp;subCampaign=&amp;paymentMethod=debitcard&amp;loyalty=true&amp;invoiceType=DIGITAL&amp;city=&amp;state=&amp;processType=migrate&amp;offerPlanId=22375&amp;smartphone=true</t>
  </si>
  <si>
    <t>Galaxy S22 5G 128GB</t>
  </si>
  <si>
    <t>GALAXYS225G128GB</t>
  </si>
  <si>
    <t>5.289,00</t>
  </si>
  <si>
    <t>claro_0_samsung_S22_preto_frente.png</t>
  </si>
  <si>
    <t>https://planoscelular.claro.com.br/claroCampaigns/subcampaign?sku=000000000000018163&amp;campaign=CBA&amp;subCampaign=&amp;paymentMethod=debitcard&amp;loyalty=true&amp;invoiceType=DIGITAL&amp;city=&amp;state=&amp;processType=migrate&amp;offerPlanId=22375&amp;smartphone=true</t>
  </si>
  <si>
    <t>Moto Edge 30 Ultra 256GB</t>
  </si>
  <si>
    <t>MOTOEDGE30ULTRA256GB</t>
  </si>
  <si>
    <t>claro_0_motorola_edge30_ultra_branco.png</t>
  </si>
  <si>
    <t>https://planoscelular.claro.com.br/claroCampaigns/subcampaign?sku=000000000000018364&amp;campaign=CBA&amp;subCampaign=&amp;paymentMethod=debitcard&amp;loyalty=true&amp;invoiceType=DIGITAL&amp;city=&amp;state=&amp;processType=migrate&amp;offerPlanId=22375&amp;smartphone=true</t>
  </si>
  <si>
    <t>Galaxy S21 FE 5G 128GB</t>
  </si>
  <si>
    <t>GALAXYS21FE5G128GB</t>
  </si>
  <si>
    <t>3.989,00</t>
  </si>
  <si>
    <t>claro_0_samsung_s21fe_branco_frente_verso.png</t>
  </si>
  <si>
    <t>https://planoscelular.claro.com.br/claroCampaigns/subcampaign?sku=000000000000018541&amp;campaign=CBA&amp;subCampaign=&amp;paymentMethod=debitcard&amp;loyalty=true&amp;invoiceType=DIGITAL&amp;city=&amp;state=&amp;processType=migrate&amp;offerPlanId=22375&amp;smartphone=true</t>
  </si>
  <si>
    <t>5349a9cd-fde7-4082-8ff8-a1ce60bd32e8</t>
  </si>
  <si>
    <t>ROLETAPREMIADAMAES_POS</t>
  </si>
  <si>
    <t>Roleta Premiada Dia das Maes Pos</t>
  </si>
  <si>
    <t>banner-maes-roleta-deck</t>
  </si>
  <si>
    <t>roleta_premiada_dia_das_maes_pos</t>
  </si>
  <si>
    <t>https://planoscelular.claro.com.br/claroCampaigns/subcampaign?sku=000000000000018165&amp;campaign=CBA&amp;subCampaign=&amp;paymentMethod=debitcard&amp;loyalty=true&amp;invoiceType=DIGITAL&amp;city=&amp;state=&amp;processType=migrate&amp;offerPlanId=22375&amp;text=&amp;smartphone=true&amp;utm_source=minhaclaro-deckvendas_app&amp;utm_medium=banner-cliente_deck&amp;utm_campaign=bannerdecksmartphone</t>
  </si>
  <si>
    <t>Dia das Mães com Multi Presentes da Claro</t>
  </si>
  <si>
    <t>1489,00</t>
  </si>
  <si>
    <t>https://planoscelular.claro.com.br/claro/pt/offer-plan/externalUri?offerPlanId=22283&amp;coupon=87a9d19a41a024ec0bd50f29e7f375ca2b92a36da9f0070651ed982e59fd8f1b&amp;msisdn=msisdn&amp;targetCampaign=migra&amp;paymentMethod=debitcard&amp;loyalty=true&amp;invoiceType=DIGITAL&amp;processType=MIGRATE&amp;utm_source=minhaclaro-deckvendas_app&amp;utm_medium=controle-clientepre-oferta&amp;utm_campaign=gatilhomudecontrole15gb</t>
  </si>
  <si>
    <t>https://planoscelular.claro.com.br/claro/pt/offer-plan/externalUri?offerPlanId=22283&amp;coupon=87a9d19a41a024ec0bd50f29e7f375ca2b92a36da9f0070651ed982e59fd8f1b&amp;msisdn=msisdn&amp;targetCampaign=migra&amp;paymentMethod=debitcard&amp;loyalty=true&amp;invoiceType=DIGITAL&amp;processType=MIGRATE&amp;utm_source=minhaclaro-deckvendas_web&amp;utm_medium=controle-clientepre-oferta&amp;utm_campaign=gatilhomudecontrole15gb</t>
  </si>
  <si>
    <t>4.589,00</t>
  </si>
  <si>
    <t>3.689,00</t>
  </si>
  <si>
    <t>MOTOG23_MAES_PRECTRL</t>
  </si>
  <si>
    <t>Dia das Maes Moto G23</t>
  </si>
  <si>
    <t>banner-maes-motog23-controle-deck</t>
  </si>
  <si>
    <t>dia_das_maes_moto_g23</t>
  </si>
  <si>
    <t>MOTOG23_MAES_POS</t>
  </si>
  <si>
    <t>banner-maes-motog23-pos-deck</t>
  </si>
  <si>
    <t>AMX144422OPEN</t>
  </si>
  <si>
    <t>AMX155847</t>
  </si>
  <si>
    <t xml:space="preserve">https://planoscelular.claro.com.br/claro/pt/offer-plan/externalUri?offerPlanId=22377&amp;coupon=f8270c16f970fec04b886713c30943e9&amp;msisdn=msisdn&amp;targetCampaign=migra&amp;paymentMethod=debitcard&amp;loyalty=true&amp;invoiceType=DIGITAL&amp;processType=EXCHANGE&amp;utm_source=minhaclaro-deckvendas_app&amp;utm_medium=carrossel_troca_pos&amp;utm_campaign=novoecom_200GB_troca_seg&amp;utm_id=OS71567 </t>
  </si>
  <si>
    <t xml:space="preserve">https://planoscelular.claro.com.br/claro/pt/offer-plan/externalUri?offerPlanId=22377&amp;coupon=f8270c16f970fec04b886713c30943e9&amp;msisdn=msisdn&amp;targetCampaign=migra&amp;paymentMethod=debitcard&amp;loyalty=true&amp;invoiceType=DIGITAL&amp;processType=EXCHANGE&amp;utm_source=minhaclaro-deckvendas_web&amp;utm_medium=carrossel_troca_pos&amp;utm_campaign=novoecom_200GB_troca_seg&amp;utm_id=OS71567 </t>
  </si>
  <si>
    <t>https://planoscelular.claro.com.br/claro/pt/offer-plan/externalUri?offerPlanId=22283&amp;coupon=8e1766a6de410ed72eddbd55c5490a7f03b2e5c804e41b7fc4def0dd8604ed4a&amp;msisdn=msisdn&amp;targetCampaign=migra&amp;paymentMethod=debitcard&amp;loyalty=true&amp;invoiceType=DIGITAL&amp;processType=MIGRATE&amp;utm_source=minhaclaro-deckvendas_web&amp;utm_medium=banner&amp;utm_campaign=novoecom_BannerDeckApp_15GB</t>
  </si>
  <si>
    <t xml:space="preserve">banner-migracao-controle-15GB-deck </t>
  </si>
  <si>
    <t>dasd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</si>
</sst>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172B4D"/>
      <name val="Segoe UI"/>
      <family val="2"/>
    </font>
    <font>
      <sz val="11"/>
      <color rgb="FF000000"/>
      <name val="Calibri"/>
      <family val="2"/>
      <scheme val="minor"/>
    </font>
    <font>
      <sz val="11"/>
      <color rgb="FF44444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1"/>
      <name val="Calibri"/>
      <family val="2"/>
    </font>
    <font>
      <u/>
      <sz val="11"/>
      <color rgb="FF0563C1"/>
      <name val="Calibri"/>
      <family val="2"/>
      <scheme val="minor"/>
    </font>
    <font>
      <sz val="11"/>
      <color rgb="FF444444"/>
      <name val="Calibri"/>
      <family val="2"/>
      <charset val="1"/>
      <scheme val="minor"/>
    </font>
    <font>
      <b/>
      <sz val="11"/>
      <color rgb="FFFFFFFF"/>
      <name val="Calibri"/>
      <scheme val="minor"/>
    </font>
    <font>
      <sz val="11"/>
      <color rgb="FF000000"/>
      <name val="Calibri"/>
      <scheme val="minor"/>
    </font>
    <font>
      <sz val="11"/>
      <color rgb="FF92D050"/>
      <name val="Calibri"/>
      <family val="2"/>
      <scheme val="minor"/>
    </font>
    <font>
      <sz val="11"/>
      <color rgb="FF9C0006"/>
      <name val="Calibri"/>
      <scheme val="minor"/>
    </font>
    <font>
      <sz val="11"/>
      <color rgb="FFF2F2F2"/>
      <name val="Calibri"/>
      <scheme val="minor"/>
    </font>
    <font>
      <b/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rgb="FF000000"/>
      <name val="Calibri"/>
      <family val="2"/>
    </font>
  </fonts>
  <fills count="2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EBECF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8497B0"/>
        <bgColor rgb="FF000000"/>
      </patternFill>
    </fill>
    <fill>
      <patternFill patternType="solid">
        <fgColor rgb="FFED7D31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A6A6A6"/>
        <bgColor rgb="FF000000"/>
      </patternFill>
    </fill>
    <fill>
      <patternFill patternType="solid">
        <fgColor rgb="FF262626"/>
        <bgColor rgb="FF000000"/>
      </patternFill>
    </fill>
  </fills>
  <borders count="6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79">
    <xf numFmtId="0" fontId="0" fillId="0" borderId="0" xfId="0"/>
    <xf numFmtId="0" fontId="1" fillId="0" borderId="0" xfId="0" applyFont="1"/>
    <xf numFmtId="4" fontId="0" fillId="0" borderId="0" xfId="0" applyNumberFormat="1"/>
    <xf numFmtId="0" fontId="0" fillId="2" borderId="0" xfId="0" applyFill="1" applyAlignment="1">
      <alignment horizontal="center" vertical="center" textRotation="90"/>
    </xf>
    <xf numFmtId="0" fontId="0" fillId="2" borderId="0" xfId="0" applyFill="1"/>
    <xf numFmtId="0" fontId="3" fillId="0" borderId="0" xfId="1"/>
    <xf numFmtId="3" fontId="0" fillId="0" borderId="0" xfId="0" applyNumberFormat="1"/>
    <xf numFmtId="0" fontId="0" fillId="3" borderId="0" xfId="0" applyFill="1"/>
    <xf numFmtId="4" fontId="0" fillId="3" borderId="0" xfId="0" applyNumberFormat="1" applyFill="1"/>
    <xf numFmtId="3" fontId="0" fillId="3" borderId="0" xfId="0" applyNumberFormat="1" applyFill="1"/>
    <xf numFmtId="0" fontId="0" fillId="4" borderId="0" xfId="0" applyFill="1"/>
    <xf numFmtId="49" fontId="0" fillId="0" borderId="0" xfId="0" applyNumberFormat="1"/>
    <xf numFmtId="0" fontId="0" fillId="0" borderId="0" xfId="0" applyAlignment="1">
      <alignment horizontal="center"/>
    </xf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0" borderId="0" xfId="0" quotePrefix="1"/>
    <xf numFmtId="0" fontId="4" fillId="8" borderId="0" xfId="0" applyFont="1" applyFill="1" applyAlignment="1">
      <alignment horizontal="center"/>
    </xf>
    <xf numFmtId="2" fontId="0" fillId="0" borderId="0" xfId="0" applyNumberFormat="1"/>
    <xf numFmtId="11" fontId="0" fillId="0" borderId="0" xfId="0" applyNumberFormat="1"/>
    <xf numFmtId="0" fontId="6" fillId="10" borderId="0" xfId="0" applyFont="1" applyFill="1" applyAlignment="1">
      <alignment horizontal="center"/>
    </xf>
    <xf numFmtId="0" fontId="3" fillId="0" borderId="0" xfId="1" applyNumberFormat="1"/>
    <xf numFmtId="0" fontId="0" fillId="13" borderId="0" xfId="0" applyFill="1"/>
    <xf numFmtId="0" fontId="7" fillId="6" borderId="0" xfId="0" applyFont="1" applyFill="1" applyAlignment="1">
      <alignment horizontal="center"/>
    </xf>
    <xf numFmtId="0" fontId="6" fillId="14" borderId="0" xfId="0" applyFont="1" applyFill="1" applyAlignment="1">
      <alignment horizontal="center"/>
    </xf>
    <xf numFmtId="0" fontId="8" fillId="15" borderId="0" xfId="0" applyFont="1" applyFill="1" applyAlignment="1">
      <alignment horizontal="left" vertical="center" wrapText="1"/>
    </xf>
    <xf numFmtId="0" fontId="7" fillId="16" borderId="0" xfId="0" applyFont="1" applyFill="1" applyAlignment="1">
      <alignment horizontal="center"/>
    </xf>
    <xf numFmtId="0" fontId="0" fillId="17" borderId="0" xfId="0" applyFill="1"/>
    <xf numFmtId="0" fontId="9" fillId="0" borderId="0" xfId="0" applyFont="1"/>
    <xf numFmtId="0" fontId="10" fillId="0" borderId="0" xfId="0" applyFont="1"/>
    <xf numFmtId="1" fontId="0" fillId="0" borderId="0" xfId="0" applyNumberFormat="1"/>
    <xf numFmtId="0" fontId="3" fillId="0" borderId="0" xfId="1" applyAlignment="1">
      <alignment vertical="center"/>
    </xf>
    <xf numFmtId="0" fontId="0" fillId="0" borderId="0" xfId="0" applyAlignment="1">
      <alignment wrapText="1"/>
    </xf>
    <xf numFmtId="0" fontId="7" fillId="10" borderId="0" xfId="0" applyFont="1" applyFill="1"/>
    <xf numFmtId="0" fontId="0" fillId="18" borderId="0" xfId="0" applyFill="1"/>
    <xf numFmtId="0" fontId="0" fillId="19" borderId="0" xfId="0" applyFill="1"/>
    <xf numFmtId="0" fontId="11" fillId="0" borderId="0" xfId="0" applyFont="1"/>
    <xf numFmtId="0" fontId="3" fillId="19" borderId="0" xfId="1" applyFill="1"/>
    <xf numFmtId="0" fontId="12" fillId="0" borderId="0" xfId="0" applyFont="1"/>
    <xf numFmtId="0" fontId="13" fillId="0" borderId="1" xfId="0" applyFont="1" applyBorder="1" applyAlignment="1">
      <alignment wrapText="1"/>
    </xf>
    <xf numFmtId="0" fontId="0" fillId="11" borderId="0" xfId="0" applyFill="1"/>
    <xf numFmtId="49" fontId="0" fillId="19" borderId="0" xfId="0" applyNumberFormat="1" applyFill="1"/>
    <xf numFmtId="0" fontId="0" fillId="20" borderId="0" xfId="0" applyFill="1"/>
    <xf numFmtId="49" fontId="0" fillId="20" borderId="0" xfId="0" applyNumberFormat="1" applyFill="1"/>
    <xf numFmtId="0" fontId="3" fillId="20" borderId="0" xfId="1" applyFill="1"/>
    <xf numFmtId="0" fontId="14" fillId="0" borderId="0" xfId="0" applyFont="1"/>
    <xf numFmtId="0" fontId="0" fillId="21" borderId="0" xfId="0" applyFill="1"/>
    <xf numFmtId="11" fontId="9" fillId="0" borderId="0" xfId="0" applyNumberFormat="1" applyFont="1"/>
    <xf numFmtId="0" fontId="15" fillId="0" borderId="0" xfId="0" applyFont="1"/>
    <xf numFmtId="49" fontId="9" fillId="0" borderId="0" xfId="0" applyNumberFormat="1" applyFont="1"/>
    <xf numFmtId="49" fontId="1" fillId="0" borderId="0" xfId="0" applyNumberFormat="1" applyFont="1"/>
    <xf numFmtId="0" fontId="9" fillId="22" borderId="0" xfId="0" applyFont="1" applyFill="1"/>
    <xf numFmtId="49" fontId="9" fillId="22" borderId="0" xfId="0" applyNumberFormat="1" applyFont="1" applyFill="1"/>
    <xf numFmtId="0" fontId="16" fillId="23" borderId="0" xfId="0" applyFont="1" applyFill="1" applyAlignment="1">
      <alignment horizontal="center"/>
    </xf>
    <xf numFmtId="0" fontId="17" fillId="0" borderId="0" xfId="0" applyFont="1"/>
    <xf numFmtId="0" fontId="18" fillId="0" borderId="0" xfId="0" applyFont="1"/>
    <xf numFmtId="0" fontId="17" fillId="0" borderId="3" xfId="0" applyFont="1" applyBorder="1" applyAlignment="1">
      <alignment wrapText="1"/>
    </xf>
    <xf numFmtId="0" fontId="19" fillId="24" borderId="4" xfId="0" applyFont="1" applyFill="1" applyBorder="1" applyAlignment="1">
      <alignment wrapText="1"/>
    </xf>
    <xf numFmtId="0" fontId="17" fillId="0" borderId="4" xfId="0" applyFont="1" applyBorder="1" applyAlignment="1">
      <alignment wrapText="1"/>
    </xf>
    <xf numFmtId="0" fontId="20" fillId="25" borderId="2" xfId="0" applyFont="1" applyFill="1" applyBorder="1" applyAlignment="1">
      <alignment wrapText="1"/>
    </xf>
    <xf numFmtId="0" fontId="20" fillId="25" borderId="5" xfId="0" applyFont="1" applyFill="1" applyBorder="1" applyAlignment="1">
      <alignment wrapText="1"/>
    </xf>
    <xf numFmtId="0" fontId="20" fillId="26" borderId="5" xfId="0" applyFont="1" applyFill="1" applyBorder="1" applyAlignment="1">
      <alignment wrapText="1"/>
    </xf>
    <xf numFmtId="0" fontId="21" fillId="0" borderId="0" xfId="0" applyFont="1"/>
    <xf numFmtId="0" fontId="9" fillId="13" borderId="0" xfId="0" applyFont="1" applyFill="1"/>
    <xf numFmtId="49" fontId="9" fillId="13" borderId="0" xfId="0" applyNumberFormat="1" applyFont="1" applyFill="1"/>
    <xf numFmtId="0" fontId="1" fillId="13" borderId="0" xfId="0" applyFont="1" applyFill="1"/>
    <xf numFmtId="0" fontId="3" fillId="2" borderId="0" xfId="1" applyFill="1"/>
    <xf numFmtId="0" fontId="4" fillId="5" borderId="0" xfId="0" applyFont="1" applyFill="1" applyAlignment="1">
      <alignment horizontal="center"/>
    </xf>
    <xf numFmtId="0" fontId="2" fillId="5" borderId="0" xfId="0" applyFont="1" applyFill="1" applyAlignment="1">
      <alignment horizontal="center"/>
    </xf>
    <xf numFmtId="0" fontId="6" fillId="11" borderId="0" xfId="0" applyFont="1" applyFill="1" applyAlignment="1">
      <alignment horizontal="center"/>
    </xf>
    <xf numFmtId="0" fontId="5" fillId="9" borderId="0" xfId="0" applyFont="1" applyFill="1" applyAlignment="1">
      <alignment horizontal="center"/>
    </xf>
    <xf numFmtId="0" fontId="6" fillId="5" borderId="0" xfId="0" applyFont="1" applyFill="1" applyAlignment="1">
      <alignment horizontal="center"/>
    </xf>
    <xf numFmtId="0" fontId="6" fillId="12" borderId="0" xfId="0" applyFont="1" applyFill="1" applyAlignment="1">
      <alignment horizontal="center"/>
    </xf>
    <xf numFmtId="0" fontId="0" fillId="2" borderId="0" xfId="0" applyFill="1" applyAlignment="1">
      <alignment horizontal="center" vertical="center" textRotation="90"/>
    </xf>
    <xf numFmtId="0" fontId="5" fillId="6" borderId="0" xfId="0" applyFont="1" applyFill="1" applyAlignment="1">
      <alignment horizontal="center"/>
    </xf>
    <xf numFmtId="0" fontId="23" fillId="5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13" borderId="0" xfId="0" applyFill="1" applyAlignment="1">
      <alignment horizontal="center"/>
    </xf>
    <xf numFmtId="0" fontId="11" fillId="18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13"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5" tint="-0.24994659260841701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theme="3" tint="0.59996337778862885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36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onnections" Target="connections.xml"/><Relationship Id="rId30" Type="http://schemas.openxmlformats.org/officeDocument/2006/relationships/sheetMetadata" Target="metadata.xml"/><Relationship Id="rId35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19050</xdr:rowOff>
        </xdr:from>
        <xdr:to>
          <xdr:col>2</xdr:col>
          <xdr:colOff>1143000</xdr:colOff>
          <xdr:row>4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2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JSON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0</xdr:colOff>
      <xdr:row>25</xdr:row>
      <xdr:rowOff>9525</xdr:rowOff>
    </xdr:from>
    <xdr:to>
      <xdr:col>18</xdr:col>
      <xdr:colOff>37995</xdr:colOff>
      <xdr:row>29</xdr:row>
      <xdr:rowOff>114187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317200" y="7410450"/>
          <a:ext cx="838095" cy="904762"/>
        </a:xfrm>
        <a:prstGeom prst="rect">
          <a:avLst/>
        </a:prstGeom>
      </xdr:spPr>
    </xdr:pic>
    <xdr:clientData/>
  </xdr:twoCellAnchor>
  <xdr:twoCellAnchor editAs="oneCell">
    <xdr:from>
      <xdr:col>18</xdr:col>
      <xdr:colOff>104775</xdr:colOff>
      <xdr:row>25</xdr:row>
      <xdr:rowOff>0</xdr:rowOff>
    </xdr:from>
    <xdr:to>
      <xdr:col>18</xdr:col>
      <xdr:colOff>885727</xdr:colOff>
      <xdr:row>29</xdr:row>
      <xdr:rowOff>104662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222075" y="7400925"/>
          <a:ext cx="780952" cy="904762"/>
        </a:xfrm>
        <a:prstGeom prst="rect">
          <a:avLst/>
        </a:prstGeom>
      </xdr:spPr>
    </xdr:pic>
    <xdr:clientData/>
  </xdr:twoCellAnchor>
  <xdr:twoCellAnchor editAs="oneCell">
    <xdr:from>
      <xdr:col>18</xdr:col>
      <xdr:colOff>962025</xdr:colOff>
      <xdr:row>25</xdr:row>
      <xdr:rowOff>9525</xdr:rowOff>
    </xdr:from>
    <xdr:to>
      <xdr:col>18</xdr:col>
      <xdr:colOff>1740736</xdr:colOff>
      <xdr:row>29</xdr:row>
      <xdr:rowOff>76092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5079325" y="7410450"/>
          <a:ext cx="780952" cy="866667"/>
        </a:xfrm>
        <a:prstGeom prst="rect">
          <a:avLst/>
        </a:prstGeom>
      </xdr:spPr>
    </xdr:pic>
    <xdr:clientData/>
  </xdr:twoCellAnchor>
  <xdr:twoCellAnchor editAs="oneCell">
    <xdr:from>
      <xdr:col>19</xdr:col>
      <xdr:colOff>790575</xdr:colOff>
      <xdr:row>25</xdr:row>
      <xdr:rowOff>28575</xdr:rowOff>
    </xdr:from>
    <xdr:to>
      <xdr:col>19</xdr:col>
      <xdr:colOff>1571527</xdr:colOff>
      <xdr:row>29</xdr:row>
      <xdr:rowOff>85618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5974675" y="7429500"/>
          <a:ext cx="780952" cy="857143"/>
        </a:xfrm>
        <a:prstGeom prst="rect">
          <a:avLst/>
        </a:prstGeom>
      </xdr:spPr>
    </xdr:pic>
    <xdr:clientData/>
  </xdr:twoCellAnchor>
  <xdr:twoCellAnchor editAs="oneCell">
    <xdr:from>
      <xdr:col>19</xdr:col>
      <xdr:colOff>1666875</xdr:colOff>
      <xdr:row>25</xdr:row>
      <xdr:rowOff>19050</xdr:rowOff>
    </xdr:from>
    <xdr:to>
      <xdr:col>19</xdr:col>
      <xdr:colOff>2438304</xdr:colOff>
      <xdr:row>29</xdr:row>
      <xdr:rowOff>114188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6850975" y="7419975"/>
          <a:ext cx="771429" cy="895238"/>
        </a:xfrm>
        <a:prstGeom prst="rect">
          <a:avLst/>
        </a:prstGeom>
      </xdr:spPr>
    </xdr:pic>
    <xdr:clientData/>
  </xdr:twoCellAnchor>
  <xdr:twoCellAnchor editAs="oneCell">
    <xdr:from>
      <xdr:col>19</xdr:col>
      <xdr:colOff>2521324</xdr:colOff>
      <xdr:row>25</xdr:row>
      <xdr:rowOff>44824</xdr:rowOff>
    </xdr:from>
    <xdr:to>
      <xdr:col>20</xdr:col>
      <xdr:colOff>414617</xdr:colOff>
      <xdr:row>29</xdr:row>
      <xdr:rowOff>73719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7689736" y="4482353"/>
          <a:ext cx="773205" cy="83571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5</xdr:row>
          <xdr:rowOff>19050</xdr:rowOff>
        </xdr:from>
        <xdr:to>
          <xdr:col>2</xdr:col>
          <xdr:colOff>800100</xdr:colOff>
          <xdr:row>6</xdr:row>
          <xdr:rowOff>190500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02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49</xdr:row>
      <xdr:rowOff>0</xdr:rowOff>
    </xdr:from>
    <xdr:to>
      <xdr:col>4</xdr:col>
      <xdr:colOff>1173832</xdr:colOff>
      <xdr:row>74</xdr:row>
      <xdr:rowOff>151786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97324" y="7429500"/>
          <a:ext cx="4361905" cy="4914286"/>
        </a:xfrm>
        <a:prstGeom prst="rect">
          <a:avLst/>
        </a:prstGeom>
      </xdr:spPr>
    </xdr:pic>
    <xdr:clientData/>
  </xdr:twoCellAnchor>
  <xdr:twoCellAnchor editAs="oneCell">
    <xdr:from>
      <xdr:col>5</xdr:col>
      <xdr:colOff>235324</xdr:colOff>
      <xdr:row>48</xdr:row>
      <xdr:rowOff>168088</xdr:rowOff>
    </xdr:from>
    <xdr:to>
      <xdr:col>6</xdr:col>
      <xdr:colOff>774358</xdr:colOff>
      <xdr:row>75</xdr:row>
      <xdr:rowOff>15064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468471" y="7978588"/>
          <a:ext cx="4228571" cy="499047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0</xdr:row>
          <xdr:rowOff>180975</xdr:rowOff>
        </xdr:from>
        <xdr:to>
          <xdr:col>1</xdr:col>
          <xdr:colOff>723900</xdr:colOff>
          <xdr:row>2</xdr:row>
          <xdr:rowOff>133350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04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1</xdr:row>
          <xdr:rowOff>9525</xdr:rowOff>
        </xdr:from>
        <xdr:to>
          <xdr:col>2</xdr:col>
          <xdr:colOff>0</xdr:colOff>
          <xdr:row>2</xdr:row>
          <xdr:rowOff>76200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7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19050</xdr:rowOff>
        </xdr:from>
        <xdr:to>
          <xdr:col>2</xdr:col>
          <xdr:colOff>1143000</xdr:colOff>
          <xdr:row>4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9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 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104775</xdr:rowOff>
        </xdr:from>
        <xdr:to>
          <xdr:col>2</xdr:col>
          <xdr:colOff>9525</xdr:colOff>
          <xdr:row>9</xdr:row>
          <xdr:rowOff>85725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14</xdr:row>
          <xdr:rowOff>142875</xdr:rowOff>
        </xdr:from>
        <xdr:to>
          <xdr:col>2</xdr:col>
          <xdr:colOff>0</xdr:colOff>
          <xdr:row>16</xdr:row>
          <xdr:rowOff>123825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A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21</xdr:row>
          <xdr:rowOff>123825</xdr:rowOff>
        </xdr:from>
        <xdr:to>
          <xdr:col>2</xdr:col>
          <xdr:colOff>38100</xdr:colOff>
          <xdr:row>23</xdr:row>
          <xdr:rowOff>66675</xdr:rowOff>
        </xdr:to>
        <xdr:sp macro="" textlink="">
          <xdr:nvSpPr>
            <xdr:cNvPr id="29699" name="Button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A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CONTROLE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28</xdr:row>
          <xdr:rowOff>104775</xdr:rowOff>
        </xdr:from>
        <xdr:to>
          <xdr:col>2</xdr:col>
          <xdr:colOff>9525</xdr:colOff>
          <xdr:row>30</xdr:row>
          <xdr:rowOff>66675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A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14</xdr:col>
      <xdr:colOff>0</xdr:colOff>
      <xdr:row>49</xdr:row>
      <xdr:rowOff>9525</xdr:rowOff>
    </xdr:from>
    <xdr:to>
      <xdr:col>15</xdr:col>
      <xdr:colOff>37994</xdr:colOff>
      <xdr:row>53</xdr:row>
      <xdr:rowOff>115867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22588" y="9691407"/>
          <a:ext cx="833612" cy="913166"/>
        </a:xfrm>
        <a:prstGeom prst="rect">
          <a:avLst/>
        </a:prstGeom>
      </xdr:spPr>
    </xdr:pic>
    <xdr:clientData/>
  </xdr:twoCellAnchor>
  <xdr:twoCellAnchor editAs="oneCell">
    <xdr:from>
      <xdr:col>15</xdr:col>
      <xdr:colOff>104774</xdr:colOff>
      <xdr:row>49</xdr:row>
      <xdr:rowOff>0</xdr:rowOff>
    </xdr:from>
    <xdr:to>
      <xdr:col>16</xdr:col>
      <xdr:colOff>85626</xdr:colOff>
      <xdr:row>53</xdr:row>
      <xdr:rowOff>106342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022980" y="9681882"/>
          <a:ext cx="776470" cy="913166"/>
        </a:xfrm>
        <a:prstGeom prst="rect">
          <a:avLst/>
        </a:prstGeom>
      </xdr:spPr>
    </xdr:pic>
    <xdr:clientData/>
  </xdr:twoCellAnchor>
  <xdr:twoCellAnchor editAs="oneCell">
    <xdr:from>
      <xdr:col>16</xdr:col>
      <xdr:colOff>161924</xdr:colOff>
      <xdr:row>49</xdr:row>
      <xdr:rowOff>9525</xdr:rowOff>
    </xdr:from>
    <xdr:to>
      <xdr:col>17</xdr:col>
      <xdr:colOff>142777</xdr:colOff>
      <xdr:row>53</xdr:row>
      <xdr:rowOff>77772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875748" y="9691407"/>
          <a:ext cx="776470" cy="875071"/>
        </a:xfrm>
        <a:prstGeom prst="rect">
          <a:avLst/>
        </a:prstGeom>
      </xdr:spPr>
    </xdr:pic>
    <xdr:clientData/>
  </xdr:twoCellAnchor>
  <xdr:twoCellAnchor editAs="oneCell">
    <xdr:from>
      <xdr:col>17</xdr:col>
      <xdr:colOff>142875</xdr:colOff>
      <xdr:row>49</xdr:row>
      <xdr:rowOff>9525</xdr:rowOff>
    </xdr:from>
    <xdr:to>
      <xdr:col>18</xdr:col>
      <xdr:colOff>504726</xdr:colOff>
      <xdr:row>53</xdr:row>
      <xdr:rowOff>68248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652316" y="9691407"/>
          <a:ext cx="776469" cy="865547"/>
        </a:xfrm>
        <a:prstGeom prst="rect">
          <a:avLst/>
        </a:prstGeom>
      </xdr:spPr>
    </xdr:pic>
    <xdr:clientData/>
  </xdr:twoCellAnchor>
  <xdr:twoCellAnchor editAs="oneCell">
    <xdr:from>
      <xdr:col>18</xdr:col>
      <xdr:colOff>547967</xdr:colOff>
      <xdr:row>49</xdr:row>
      <xdr:rowOff>19050</xdr:rowOff>
    </xdr:from>
    <xdr:to>
      <xdr:col>18</xdr:col>
      <xdr:colOff>1319396</xdr:colOff>
      <xdr:row>53</xdr:row>
      <xdr:rowOff>115868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0472026" y="9700932"/>
          <a:ext cx="771429" cy="903642"/>
        </a:xfrm>
        <a:prstGeom prst="rect">
          <a:avLst/>
        </a:prstGeom>
      </xdr:spPr>
    </xdr:pic>
    <xdr:clientData/>
  </xdr:twoCellAnchor>
  <xdr:twoCellAnchor editAs="oneCell">
    <xdr:from>
      <xdr:col>18</xdr:col>
      <xdr:colOff>1309968</xdr:colOff>
      <xdr:row>49</xdr:row>
      <xdr:rowOff>39781</xdr:rowOff>
    </xdr:from>
    <xdr:to>
      <xdr:col>18</xdr:col>
      <xdr:colOff>2081492</xdr:colOff>
      <xdr:row>53</xdr:row>
      <xdr:rowOff>73583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234027" y="9721663"/>
          <a:ext cx="771524" cy="84062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19050</xdr:rowOff>
        </xdr:from>
        <xdr:to>
          <xdr:col>2</xdr:col>
          <xdr:colOff>1143000</xdr:colOff>
          <xdr:row>4</xdr:row>
          <xdr:rowOff>0</xdr:rowOff>
        </xdr:to>
        <xdr:sp macro="" textlink="">
          <xdr:nvSpPr>
            <xdr:cNvPr id="76801" name="Button 1" hidden="1">
              <a:extLst>
                <a:ext uri="{63B3BB69-23CF-44E3-9099-C40C66FF867C}">
                  <a14:compatExt spid="_x0000_s76801"/>
                </a:ext>
                <a:ext uri="{FF2B5EF4-FFF2-40B4-BE49-F238E27FC236}">
                  <a16:creationId xmlns:a16="http://schemas.microsoft.com/office/drawing/2014/main" id="{00000000-0008-0000-0D00-00000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JSON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704850</xdr:colOff>
      <xdr:row>16</xdr:row>
      <xdr:rowOff>76200</xdr:rowOff>
    </xdr:from>
    <xdr:to>
      <xdr:col>6</xdr:col>
      <xdr:colOff>1542945</xdr:colOff>
      <xdr:row>20</xdr:row>
      <xdr:rowOff>180862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81750" y="3276600"/>
          <a:ext cx="838095" cy="904762"/>
        </a:xfrm>
        <a:prstGeom prst="rect">
          <a:avLst/>
        </a:prstGeom>
      </xdr:spPr>
    </xdr:pic>
    <xdr:clientData/>
  </xdr:twoCellAnchor>
  <xdr:twoCellAnchor editAs="oneCell">
    <xdr:from>
      <xdr:col>6</xdr:col>
      <xdr:colOff>1609725</xdr:colOff>
      <xdr:row>16</xdr:row>
      <xdr:rowOff>66675</xdr:rowOff>
    </xdr:from>
    <xdr:to>
      <xdr:col>7</xdr:col>
      <xdr:colOff>371377</xdr:colOff>
      <xdr:row>20</xdr:row>
      <xdr:rowOff>171337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86625" y="3267075"/>
          <a:ext cx="780952" cy="904762"/>
        </a:xfrm>
        <a:prstGeom prst="rect">
          <a:avLst/>
        </a:prstGeom>
      </xdr:spPr>
    </xdr:pic>
    <xdr:clientData/>
  </xdr:twoCellAnchor>
  <xdr:twoCellAnchor editAs="oneCell">
    <xdr:from>
      <xdr:col>7</xdr:col>
      <xdr:colOff>447675</xdr:colOff>
      <xdr:row>16</xdr:row>
      <xdr:rowOff>76200</xdr:rowOff>
    </xdr:from>
    <xdr:to>
      <xdr:col>7</xdr:col>
      <xdr:colOff>1228627</xdr:colOff>
      <xdr:row>20</xdr:row>
      <xdr:rowOff>142767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143875" y="3276600"/>
          <a:ext cx="780952" cy="866667"/>
        </a:xfrm>
        <a:prstGeom prst="rect">
          <a:avLst/>
        </a:prstGeom>
      </xdr:spPr>
    </xdr:pic>
    <xdr:clientData/>
  </xdr:twoCellAnchor>
  <xdr:twoCellAnchor editAs="oneCell">
    <xdr:from>
      <xdr:col>7</xdr:col>
      <xdr:colOff>1343025</xdr:colOff>
      <xdr:row>16</xdr:row>
      <xdr:rowOff>95250</xdr:rowOff>
    </xdr:from>
    <xdr:to>
      <xdr:col>8</xdr:col>
      <xdr:colOff>495202</xdr:colOff>
      <xdr:row>20</xdr:row>
      <xdr:rowOff>152293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039225" y="3295650"/>
          <a:ext cx="780952" cy="857143"/>
        </a:xfrm>
        <a:prstGeom prst="rect">
          <a:avLst/>
        </a:prstGeom>
      </xdr:spPr>
    </xdr:pic>
    <xdr:clientData/>
  </xdr:twoCellAnchor>
  <xdr:twoCellAnchor editAs="oneCell">
    <xdr:from>
      <xdr:col>8</xdr:col>
      <xdr:colOff>428625</xdr:colOff>
      <xdr:row>16</xdr:row>
      <xdr:rowOff>85725</xdr:rowOff>
    </xdr:from>
    <xdr:to>
      <xdr:col>9</xdr:col>
      <xdr:colOff>619029</xdr:colOff>
      <xdr:row>20</xdr:row>
      <xdr:rowOff>180863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753600" y="3286125"/>
          <a:ext cx="771429" cy="89523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</xdr:row>
          <xdr:rowOff>152400</xdr:rowOff>
        </xdr:from>
        <xdr:to>
          <xdr:col>1</xdr:col>
          <xdr:colOff>581025</xdr:colOff>
          <xdr:row>3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F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104775</xdr:rowOff>
        </xdr:from>
        <xdr:to>
          <xdr:col>0</xdr:col>
          <xdr:colOff>723900</xdr:colOff>
          <xdr:row>3</xdr:row>
          <xdr:rowOff>152400</xdr:rowOff>
        </xdr:to>
        <xdr:sp macro="" textlink="">
          <xdr:nvSpPr>
            <xdr:cNvPr id="71681" name="Button 1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11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1257300</xdr:colOff>
          <xdr:row>1</xdr:row>
          <xdr:rowOff>171450</xdr:rowOff>
        </xdr:from>
        <xdr:to>
          <xdr:col>1</xdr:col>
          <xdr:colOff>771525</xdr:colOff>
          <xdr:row>3</xdr:row>
          <xdr:rowOff>9525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12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0</xdr:row>
          <xdr:rowOff>66675</xdr:rowOff>
        </xdr:from>
        <xdr:to>
          <xdr:col>1</xdr:col>
          <xdr:colOff>314325</xdr:colOff>
          <xdr:row>1</xdr:row>
          <xdr:rowOff>152400</xdr:rowOff>
        </xdr:to>
        <xdr:sp macro="" textlink="">
          <xdr:nvSpPr>
            <xdr:cNvPr id="94209" name="Button 1" hidden="1">
              <a:extLst>
                <a:ext uri="{63B3BB69-23CF-44E3-9099-C40C66FF867C}">
                  <a14:compatExt spid="_x0000_s94209"/>
                </a:ext>
                <a:ext uri="{FF2B5EF4-FFF2-40B4-BE49-F238E27FC236}">
                  <a16:creationId xmlns:a16="http://schemas.microsoft.com/office/drawing/2014/main" id="{00000000-0008-0000-1700-00000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auro Filipe Burger" id="{EF0AD39C-5033-4EBF-AE91-E4295609ADF3}" userId="S::mauro.burger@globalhitss.com.br::207d12bd-7878-4512-9bf8-d6e524bf4966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23" dT="2023-01-23T14:06:08.13" personId="{EF0AD39C-5033-4EBF-AE91-E4295609ADF3}" id="{C3199B3C-AFF8-44F0-B330-CF807D20C0E0}">
    <text xml:space="preserve">Não tem diretório
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planoscelular.claro.com.br/claroCampaigns/subcampaign?sku=000000000000018259&amp;campaign=CBA&amp;subCampaign=S45&amp;paymentMethod=debitcard&amp;loyalty=true&amp;invoiceType=DIGITAL&amp;city=&amp;state=&amp;processType=migrate&amp;offerPlanId=22285&amp;smartphone=true" TargetMode="External"/><Relationship Id="rId2" Type="http://schemas.openxmlformats.org/officeDocument/2006/relationships/hyperlink" Target="https://planoscelular.claro.com.br/claroCampaigns/subcampaign?sku=000000000000018259&amp;campaign=CBA&amp;subCampaign=S45&amp;paymentMethod=debitcard&amp;loyalty=true&amp;invoiceType=DIGITAL&amp;city=&amp;state=&amp;processType=migrate&amp;offerPlanId=22285&amp;smartphone=true" TargetMode="External"/><Relationship Id="rId1" Type="http://schemas.openxmlformats.org/officeDocument/2006/relationships/hyperlink" Target="https://planoscelular.claro.com.br/claroCampaigns/subcampaign?sku=000000000000018259&amp;campaign=CBA&amp;subCampaign=S45&amp;paymentMethod=debitcard&amp;loyalty=true&amp;invoiceType=DIGITAL&amp;city=&amp;state=&amp;processType=migrate&amp;offerPlanId=22285&amp;smartphone=true" TargetMode="External"/><Relationship Id="rId5" Type="http://schemas.openxmlformats.org/officeDocument/2006/relationships/hyperlink" Target="https://assets.clarobrasil.mobi/ecommerce-config/sales-deck/explore_todos_os_modelos.png" TargetMode="External"/><Relationship Id="rId4" Type="http://schemas.openxmlformats.org/officeDocument/2006/relationships/hyperlink" Target="https://assets.clarobrasil.mobi/ecommerce-config/sales-deck/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planoscelular.claro.com.br/claro/pt/offer-plan/externalUri?offerPlanId=22377&amp;coupon=f8270c16f970fec04b886713c30943e9&amp;msisdn=msisdn&amp;targetCampaign=migra&amp;paymentMethod=debitcard&amp;loyalty=true&amp;invoiceType=DIGITAL&amp;processType=EXCHANGE&amp;utm_source=minhaclaro-deckvendas_app&amp;utm_medium=carrossel_troca_pos&amp;utm_campaign=novoecom_200GB_troca_seg&amp;utm_id=OS71567" TargetMode="External"/><Relationship Id="rId7" Type="http://schemas.openxmlformats.org/officeDocument/2006/relationships/ctrlProp" Target="../ctrlProps/ctrlProp3.xml"/><Relationship Id="rId2" Type="http://schemas.openxmlformats.org/officeDocument/2006/relationships/hyperlink" Target="https://planoscelular.claro.com.br/claro/pt/offer-plan/externalUri?offerPlanId=22377&amp;coupon=f8270c16f970fec04b886713c30943e9&amp;msisdn=msisdn&amp;targetCampaign=migra&amp;paymentMethod=debitcard&amp;loyalty=true&amp;invoiceType=DIGITAL&amp;processType=EXCHANGE&amp;utm_source=minhaclaro-deckvendas_web&amp;utm_medium=carrossel_troca_pos&amp;utm_campaign=novoecom_200GB_troca_seg&amp;utm_id=OS71567" TargetMode="External"/><Relationship Id="rId1" Type="http://schemas.openxmlformats.org/officeDocument/2006/relationships/hyperlink" Target="https://planoscelular.claro.com.br/claro/pt/offer-plan/externalUri?offerPlanId=22377&amp;coupon=f8270c16f970fec04b886713c30943e9&amp;msisdn=msisdn&amp;targetCampaign=migra&amp;paymentMethod=debitcard&amp;loyalty=true&amp;invoiceType=DIGITAL&amp;processType=EXCHANGE&amp;utm_source=minhaclaro-deckvendas_app&amp;utm_medium=carrossel_troca_pos&amp;utm_campaign=novoecom_200GB_troca_seg&amp;utm_id=OS71567" TargetMode="External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planoscelular.claro.com.br/claro/pt/offer-plan/externalUri?offerPlanId=22382&amp;coupon=51c9f3bbefda4a4fa7be62f9a041b38a&amp;msisdn=msisdn&amp;targetCampaign=migra&amp;paymentMethod=debitcard&amp;loyalty=true&amp;invoiceType=DIGITAL&amp;processType=MIGRATE&amp;utm_source=minhaclaro-deckvendas_app&amp;utm_medium=pos-clientecontrole-oferta&amp;utm_campaign=gatilhomudepos50gb" TargetMode="External"/><Relationship Id="rId13" Type="http://schemas.openxmlformats.org/officeDocument/2006/relationships/vmlDrawing" Target="../drawings/vmlDrawing3.vml"/><Relationship Id="rId3" Type="http://schemas.openxmlformats.org/officeDocument/2006/relationships/hyperlink" Target="https://planoscelular.claro.com.br/claro/pt/offer-plan/externalUri?offerPlanId=22382&amp;coupon=0eb99cf99f9dae612a0111d930483b79&amp;msisdn=msisdn&amp;targetCampaign=migra&amp;paymentMethod=debitcard&amp;loyalty=true&amp;invoiceType=DIGITAL&amp;processType=MIGRATE&amp;utm_source=minhaclaro-deckvendas_app&amp;utm_medium=controle-clientepre-oferta&amp;utm_campaign=gatilhomudecontrole100gb_bf" TargetMode="External"/><Relationship Id="rId7" Type="http://schemas.openxmlformats.org/officeDocument/2006/relationships/hyperlink" Target="https://planoscelular.claro.com.br/claro/pt/offer-plan/externalUri?offerPlanId=22382&amp;coupon=51c9f3bbefda4a4fa7be62f9a041b38a&amp;msisdn=msisdn&amp;targetCampaign=migra&amp;paymentMethod=debitcard&amp;loyalty=true&amp;invoiceType=DIGITAL&amp;processType=MIGRATE&amp;utm_source=minhaclaro-deckvendas_app&amp;utm_medium=pos-clientecontrole-oferta&amp;utm_campaign=gatilhomudepos50gb" TargetMode="External"/><Relationship Id="rId12" Type="http://schemas.openxmlformats.org/officeDocument/2006/relationships/drawing" Target="../drawings/drawing3.xml"/><Relationship Id="rId2" Type="http://schemas.openxmlformats.org/officeDocument/2006/relationships/hyperlink" Target="https://planoscelular.claro.com.br/claro/pt/offer-plan/externalUri?offerPlanId=22382&amp;coupon=0eb99cf99f9dae612a0111d930483b79&amp;msisdn=msisdn&amp;targetCampaign=migra&amp;paymentMethod=debitcard&amp;loyalty=true&amp;invoiceType=DIGITAL&amp;processType=MIGRATE&amp;utm_source=minhaclaro-deckvendas_web&amp;utm_medium=controle-clientepre-oferta&amp;utm_campaign=gatilhomudecontrole100gb_bf" TargetMode="External"/><Relationship Id="rId1" Type="http://schemas.openxmlformats.org/officeDocument/2006/relationships/hyperlink" Target="https://planoscelular.claro.com.br/claro/pt/offer-plan/externalUri?offerPlanId=22382&amp;coupon=0eb99cf99f9dae612a0111d930483b79&amp;msisdn=msisdn&amp;targetCampaign=migra&amp;paymentMethod=debitcard&amp;loyalty=true&amp;invoiceType=DIGITAL&amp;processType=MIGRATE&amp;utm_source=minhaclaro-deckvendas_app&amp;utm_medium=controle-clientepre-oferta&amp;utm_campaign=gatilhomudecontrole100gb_bf" TargetMode="External"/><Relationship Id="rId6" Type="http://schemas.openxmlformats.org/officeDocument/2006/relationships/hyperlink" Target="https://planoscelular.claro.com.br/claro/pt/offer-plan/externalUri?offerPlanId=22283&amp;coupon=87a9d19a41a024ec0bd50f29e7f375ca2b92a36da9f0070651ed982e59fd8f1b&amp;msisdn=msisdn&amp;targetCampaign=migra&amp;paymentMethod=debitcard&amp;loyalty=true&amp;invoiceType=DIGITAL&amp;processType=MIGRATE&amp;utm_source=minhaclaro-deckvendas_web&amp;utm_medium=plpcontrole-clientepre&amp;utm_campaign=gatilhomudeparacontrole_15GB" TargetMode="External"/><Relationship Id="rId11" Type="http://schemas.openxmlformats.org/officeDocument/2006/relationships/printerSettings" Target="../printerSettings/printerSettings5.bin"/><Relationship Id="rId5" Type="http://schemas.openxmlformats.org/officeDocument/2006/relationships/hyperlink" Target="https://planoscelular.claro.com.br/claro/pt/offer-plan/externalUri?offerPlanId=22283&amp;coupon=87a9d19a41a024ec0bd50f29e7f375ca2b92a36da9f0070651ed982e59fd8f1b&amp;msisdn=msisdn&amp;targetCampaign=migra&amp;paymentMethod=debitcard&amp;loyalty=true&amp;invoiceType=DIGITAL&amp;processType=MIGRATE&amp;utm_source=minhaclaro-deckvendas_app&amp;utm_medium=plpcontrole-clientepre&amp;utm_campaign=gatilhomudeparacontrole_15GB" TargetMode="External"/><Relationship Id="rId10" Type="http://schemas.openxmlformats.org/officeDocument/2006/relationships/hyperlink" Target="https://planoscelular.claro.com.br/claro/pt/offer-plan/externalUri?offerPlanId=22265&amp;coupon=d1470da5f09a01518437d96a42e8622ef56f9cdabde722930f045a1b2078a618&amp;msisdn=msisdn&amp;targetCampaign=migra&amp;paymentMethod=debitcard&amp;loyalty=true&amp;invoiceType=DIGITAL&amp;processType=MIGRATE&amp;utm_source=minhaclaro-deckvendas_app&amp;utm_medium=controle-clientepre-oferta&amp;utm_campaign=gatilhomudecontrole30gb" TargetMode="External"/><Relationship Id="rId4" Type="http://schemas.openxmlformats.org/officeDocument/2006/relationships/hyperlink" Target="https://planoscelular.claro.com.br/claro/pt/offer-plan/externalUri?offerPlanId=22283&amp;coupon=87a9d19a41a024ec0bd50f29e7f375ca2b92a36da9f0070651ed982e59fd8f1b&amp;msisdn=msisdn&amp;targetCampaign=migra&amp;paymentMethod=debitcard&amp;loyalty=true&amp;invoiceType=DIGITAL&amp;processType=MIGRATE&amp;utm_source=minhaclaro-deckvendas_app&amp;utm_medium=plpcontrole-clientepre&amp;utm_campaign=gatilhomudeparacontrole_15GB" TargetMode="External"/><Relationship Id="rId9" Type="http://schemas.openxmlformats.org/officeDocument/2006/relationships/hyperlink" Target="https://planoscelular.claro.com.br/claro/pt/offer-plan/externalUri?offerPlanId=22265&amp;coupon=d1470da5f09a01518437d96a42e8622ef56f9cdabde722930f045a1b2078a618&amp;msisdn=msisdn&amp;targetCampaign=migra&amp;paymentMethod=debitcard&amp;loyalty=true&amp;invoiceType=DIGITAL&amp;processType=MIGRATE&amp;utm_source=minhaclaro-deckvendas_app&amp;utm_medium=controle-clientepre-oferta&amp;utm_campaign=gatilhomudecontrole30gb" TargetMode="External"/><Relationship Id="rId14" Type="http://schemas.openxmlformats.org/officeDocument/2006/relationships/ctrlProp" Target="../ctrlProps/ctrlProp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s://planoscelular.claro.com.br/claroCampaigns/subcampaign?sku=000000000000018321&amp;campaign=CBA&amp;subCampaign=&amp;paymentMethod=debitcard&amp;loyalty=true&amp;invoiceType=DIGITAL&amp;city=&amp;state=&amp;processType=migrate&amp;offerPlanId=22285&amp;smartphone=true" TargetMode="External"/><Relationship Id="rId1" Type="http://schemas.openxmlformats.org/officeDocument/2006/relationships/hyperlink" Target="https://planoscelular.claro.com.br/claroCampaigns/subcampaign?sku=000000000000018321&amp;campaign=CBA&amp;subCampaign=&amp;paymentMethod=debitcard&amp;loyalty=true&amp;invoiceType=DIGITAL&amp;city=&amp;state=&amp;processType=migrate&amp;offerPlanId=22285&amp;smartphone=true" TargetMode="External"/><Relationship Id="rId6" Type="http://schemas.openxmlformats.org/officeDocument/2006/relationships/ctrlProp" Target="../ctrlProps/ctrlProp5.xml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https://planoscelular.claro.com.br/claroCampaigns/subcampaign?sku=000000000000018259&amp;campaign=CBA&amp;subCampaign=S45&amp;paymentMethod=debitcard&amp;loyalty=true&amp;invoiceType=DIGITAL&amp;city=&amp;state=&amp;processType=migrate&amp;offerPlanId=22285&amp;smartphone=true" TargetMode="External"/><Relationship Id="rId2" Type="http://schemas.openxmlformats.org/officeDocument/2006/relationships/hyperlink" Target="https://planoscelular.claro.com.br/claroCampaigns/subcampaign?sku=000000000000018259&amp;campaign=CBA&amp;subCampaign=S45&amp;paymentMethod=debitcard&amp;loyalty=true&amp;invoiceType=DIGITAL&amp;city=&amp;state=&amp;processType=migrate&amp;offerPlanId=22285&amp;smartphone=true" TargetMode="External"/><Relationship Id="rId1" Type="http://schemas.openxmlformats.org/officeDocument/2006/relationships/hyperlink" Target="https://planoscelular.claro.com.br/claroCampaigns/subcampaign?sku=000000000000018259&amp;campaign=CBA&amp;subCampaign=S45&amp;paymentMethod=debitcard&amp;loyalty=true&amp;invoiceType=DIGITAL&amp;city=&amp;state=&amp;processType=migrate&amp;offerPlanId=22285&amp;smartphone=true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https://planoscelular.claro.com.br/claroCampaigns/subcampaign?sku=000000000000018259&amp;campaign=CBA&amp;subCampaign=S45&amp;paymentMethod=debitcard&amp;loyalty=true&amp;invoiceType=DIGITAL&amp;city=&amp;state=&amp;processType=migrate&amp;offerPlanId=22285&amp;smartphone=true" TargetMode="External"/><Relationship Id="rId2" Type="http://schemas.openxmlformats.org/officeDocument/2006/relationships/hyperlink" Target="https://planoscelular.claro.com.br/claroCampaigns/subcampaign?sku=000000000000018259&amp;campaign=CBA&amp;subCampaign=S45&amp;paymentMethod=debitcard&amp;loyalty=true&amp;invoiceType=DIGITAL&amp;city=&amp;state=&amp;processType=migrate&amp;offerPlanId=22285&amp;smartphone=true" TargetMode="External"/><Relationship Id="rId1" Type="http://schemas.openxmlformats.org/officeDocument/2006/relationships/hyperlink" Target="https://planoscelular.claro.com.br/claroCampaigns/subcampaign?sku=000000000000018259&amp;campaign=CBA&amp;subCampaign=S45&amp;paymentMethod=debitcard&amp;loyalty=true&amp;invoiceType=DIGITAL&amp;city=&amp;state=&amp;processType=migrate&amp;offerPlanId=22285&amp;smartphone=true" TargetMode="External"/><Relationship Id="rId4" Type="http://schemas.openxmlformats.org/officeDocument/2006/relationships/hyperlink" Target="https://assets.clarobrasil.mobi/ecommerce-config/sales-deck/" TargetMode="Externa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s://planoscelular.claro.com.br/Cat%C3%A1logo-de-Planos/Acess%C3%B3rios/HEADPHONE-BLUETOOTH-T510-JBL/p/000000000000062370" TargetMode="External"/><Relationship Id="rId13" Type="http://schemas.openxmlformats.org/officeDocument/2006/relationships/vmlDrawing" Target="../drawings/vmlDrawing6.vml"/><Relationship Id="rId3" Type="http://schemas.openxmlformats.org/officeDocument/2006/relationships/hyperlink" Target="https://planoscelular.claro.com.br/Cat%C3%A1logo-de-Planos/Acess%C3%B3rios/CARREGADOR-VEICULAR-GEONAV-USB/p/000000000000062317" TargetMode="External"/><Relationship Id="rId7" Type="http://schemas.openxmlformats.org/officeDocument/2006/relationships/hyperlink" Target="https://planoscelular.claro.com.br/Cat%C3%A1logo-de-Planos/Acess%C3%B3rios/CARREGADOR-VEICULAR-GEONAV-USB/p/000000000000062317" TargetMode="External"/><Relationship Id="rId12" Type="http://schemas.openxmlformats.org/officeDocument/2006/relationships/drawing" Target="../drawings/drawing6.xml"/><Relationship Id="rId2" Type="http://schemas.openxmlformats.org/officeDocument/2006/relationships/hyperlink" Target="https://planoscelular.claro.com.br/Cat%C3%A1logo-de-Planos/Acess%C3%B3rios/CARREGADOR-PAREDE-GEONAV-20W/p/000000000000062313" TargetMode="External"/><Relationship Id="rId1" Type="http://schemas.openxmlformats.org/officeDocument/2006/relationships/hyperlink" Target="https://planoscelular.claro.com.br/Cat%C3%A1logo-de-Planos/Acess%C3%B3rios/CARREGADOR-PAREDE-GEONAV-20W/p/000000000000062313" TargetMode="External"/><Relationship Id="rId6" Type="http://schemas.openxmlformats.org/officeDocument/2006/relationships/hyperlink" Target="https://planoscelular.claro.com.br/Cat%C3%A1logo-de-Planos/Acess%C3%B3rios/CAIXA-DE-SOM-BLUETOOTH-GO3-JBL/p/000000000000062367" TargetMode="External"/><Relationship Id="rId11" Type="http://schemas.openxmlformats.org/officeDocument/2006/relationships/printerSettings" Target="../printerSettings/printerSettings8.bin"/><Relationship Id="rId5" Type="http://schemas.openxmlformats.org/officeDocument/2006/relationships/hyperlink" Target="https://planoscelular.claro.com.br/Cat%C3%A1logo-de-Planos/Acess%C3%B3rios/FONE-DE-OUVIDO-COM-FIO-C50-JBL/p/000000000000062377" TargetMode="External"/><Relationship Id="rId10" Type="http://schemas.openxmlformats.org/officeDocument/2006/relationships/hyperlink" Target="https://planoscelular.claro.com.br/Cat%C3%A1logo-de-Planos/Acess%C3%B3rios/CAIXA-DE-SOM-BLUETOOTH-GO3-JBL/p/000000000000062367" TargetMode="External"/><Relationship Id="rId4" Type="http://schemas.openxmlformats.org/officeDocument/2006/relationships/hyperlink" Target="https://planoscelular.claro.com.br/Cat%C3%A1logo-de-Planos/Acess%C3%B3rios/HEADPHONE-BLUETOOTH-T510-JBL/p/000000000000062370" TargetMode="External"/><Relationship Id="rId9" Type="http://schemas.openxmlformats.org/officeDocument/2006/relationships/hyperlink" Target="https://planoscelular.claro.com.br/Cat%C3%A1logo-de-Planos/Acess%C3%B3rios/FONE-DE-OUVIDO-COM-FIO-C50-JBL/p/000000000000062377" TargetMode="External"/><Relationship Id="rId14" Type="http://schemas.openxmlformats.org/officeDocument/2006/relationships/ctrlProp" Target="../ctrlProps/ctrlProp10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hyperlink" Target="https://assets.clarobrasil.mobi/ecommerce-config/sales-deck/" TargetMode="External"/><Relationship Id="rId1" Type="http://schemas.openxmlformats.org/officeDocument/2006/relationships/hyperlink" Target="https://planoscelular.claro.com.br/claroCampaigns/subcampaign?sku=000000000000018259&amp;campaign=CBA&amp;subCampaign=S45&amp;paymentMethod=debitcard&amp;loyalty=true&amp;invoiceType=DIGITAL&amp;city=&amp;state=&amp;processType=migrate&amp;offerPlanId=22285&amp;smartphone=true" TargetMode="Externa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hyperlink" Target="https://planoscelular.claro.com.br/claro/pt/offer-plan/externalUri?offerPlanId=22283&amp;coupon=8e1766a6de410ed72eddbd55c5490a7f03b2e5c804e41b7fc4def0dd8604ed4a&amp;msisdn=msisdn&amp;targetCampaign=migra&amp;paymentMethod=debitcard&amp;loyalty=true&amp;invoiceType=DIGITAL&amp;processType=MIGRATE&amp;utm_source=minhaclaro-deckvendas_web&amp;utm_medium=banner&amp;utm_campaign=novoecom_BannerDeckApp_15GB" TargetMode="External"/><Relationship Id="rId7" Type="http://schemas.openxmlformats.org/officeDocument/2006/relationships/vmlDrawing" Target="../drawings/vmlDrawing7.vml"/><Relationship Id="rId2" Type="http://schemas.openxmlformats.org/officeDocument/2006/relationships/hyperlink" Target="https://planoscelular.claro.com.br/claroCampaigns/subcampaign?sku=000000000000018528&amp;campaign=CBA&amp;subCampaign=&amp;paymentMethod=debitcard&amp;loyalty=true&amp;invoiceType=DIGITAL&amp;city=&amp;state=&amp;processType=migrate&amp;offerPlanId=22285&amp;text=&amp;smartphone=true&amp;utm_source=minhaclaro-deckvendas_site&amp;utm_medium=banner-cliente_deck&amp;utm_campaign=bannerdecksmartphone" TargetMode="External"/><Relationship Id="rId1" Type="http://schemas.openxmlformats.org/officeDocument/2006/relationships/hyperlink" Target="https://planoscelular.claro.com.br/claroCampaigns/subcampaign?sku=000000000000018528&amp;campaign=CBA&amp;subCampaign=&amp;paymentMethod=debitcard&amp;loyalty=true&amp;invoiceType=DIGITAL&amp;city=&amp;state=&amp;processType=migrate&amp;offerPlanId=22285&amp;text=&amp;smartphone=true&amp;utm_source=minhaclaro-deckvendas_app&amp;utm_medium=banner-cliente_deck&amp;utm_campaign=bannerdecksmartphone" TargetMode="External"/><Relationship Id="rId6" Type="http://schemas.openxmlformats.org/officeDocument/2006/relationships/drawing" Target="../drawings/drawing7.x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planoscelular.claro.com.br/claro/pt/offer-plan/externalUri?offerPlanId=22283&amp;coupon=8e1766a6de410ed72eddbd55c5490a7f03b2e5c804e41b7fc4def0dd8604ed4a&amp;msisdn=msisdn&amp;targetCampaign=migra&amp;paymentMethod=debitcard&amp;loyalty=true&amp;invoiceType=DIGITAL&amp;processType=MIGRATE&amp;utm_source=minhaclaro-deckvendas_App&amp;utm_medium=banner&amp;utm_campaign=novoecom_BannerDeckApp_15GB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hyperlink" Target="https://planoscelular.claro.com.br/claroCampaigns/subcampaign?sku=000000000000018217&amp;campaign=CBA&amp;subCampaign=S45&amp;paymentMethod=debitcard&amp;loyalty=true&amp;invoiceType=DIGITAL&amp;city=&amp;state=&amp;processType=migrate&amp;offerPlanId=22375&amp;smartphone=true&amp;utm_source=minhaclaro-deckvendas_app&amp;utm_medium=banner-cliente_deck&amp;utm_campaign=bannerdecksmartphone" TargetMode="External"/><Relationship Id="rId2" Type="http://schemas.openxmlformats.org/officeDocument/2006/relationships/hyperlink" Target="https://planoscelular.claro.com.br/claroCampaigns/subcampaign?sku=000000000000018325&amp;campaign=CBA&amp;subCampaign=&amp;paymentMethod=debitcard&amp;loyalty=true&amp;invoiceType=DIGITAL&amp;city=&amp;state=&amp;processType=migrate&amp;offerPlanId=22283&amp;smartphone=true&amp;utm_source=minhaclaro&amp;utm_medium=banner_aparelho_site&amp;utm_campaign=moto_g62_128gb_ctr8gb_banner_aparelho_site" TargetMode="External"/><Relationship Id="rId1" Type="http://schemas.openxmlformats.org/officeDocument/2006/relationships/hyperlink" Target="https://planoscelular.claro.com.br/claroCampaigns/subcampaign?sku=000000000000018325&amp;campaign=CBA&amp;subCampaign=&amp;paymentMethod=debitcard&amp;loyalty=true&amp;invoiceType=DIGITAL&amp;city=&amp;state=&amp;processType=migrate&amp;offerPlanId=22283&amp;smartphone=true&amp;utm_source=minhaclaro&amp;utm_medium=banner_aparelho_site&amp;utm_campaign=moto_g62_128gb_ctr8gb_banner_aparelho_site" TargetMode="Externa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hyperlink" Target="https://planos.claro.com.br/checkout/dados-pessoais?affiliateId=r1zJOII0j&amp;internetId=983&amp;utm_source=mcm&amp;utm_medium=banner-card-desk&amp;utm_campaign=mcm-banner-card-desk" TargetMode="External"/><Relationship Id="rId13" Type="http://schemas.openxmlformats.org/officeDocument/2006/relationships/hyperlink" Target="https://planos.claro.com.br/checkout/dados-pessoais?affiliateId=r1zJOII0j&amp;internetId=1049&amp;utm_source=mcm&amp;utm_medium=banner-card-desk&amp;utm_campaign=mcm-banner-card-desk" TargetMode="External"/><Relationship Id="rId18" Type="http://schemas.openxmlformats.org/officeDocument/2006/relationships/hyperlink" Target="https://planos.claro.com.br/checkout/dados-pessoais?affiliateId=r1zJOII0j&amp;internetId=1049&amp;utm_source=mcm&amp;utm_medium=banner-card-desk&amp;utm_campaign=mcm-banner-card-desk" TargetMode="External"/><Relationship Id="rId26" Type="http://schemas.openxmlformats.org/officeDocument/2006/relationships/drawing" Target="../drawings/drawing8.xml"/><Relationship Id="rId3" Type="http://schemas.openxmlformats.org/officeDocument/2006/relationships/hyperlink" Target="https://flex.claro.com.br/?utm_source=minhaclaro-deckvendas_app&amp;utm_medium=cardflexhome-clientepre&amp;utm_campaign=gatilhoplanosflex&amp;utm_content=flex-home" TargetMode="External"/><Relationship Id="rId21" Type="http://schemas.openxmlformats.org/officeDocument/2006/relationships/hyperlink" Target="https://minhaclaro.claro.com.br/mcpf/index.html" TargetMode="External"/><Relationship Id="rId7" Type="http://schemas.openxmlformats.org/officeDocument/2006/relationships/hyperlink" Target="https://planos.claro.com.br/checkout/dados-pessoais?affiliateId=r1zJOII0j&amp;internetId=983&amp;utm_source=mcm&amp;utm_medium=banner-card-desk&amp;utm_campaign=mcm-banner-card-desk" TargetMode="External"/><Relationship Id="rId12" Type="http://schemas.openxmlformats.org/officeDocument/2006/relationships/hyperlink" Target="https://planos.claro.com.br/checkout/dados-pessoais?affiliateId=r1zJOII0j&amp;internetId=1049&amp;utm_source=mcm&amp;utm_medium=banner-card-desk&amp;utm_campaign=mcm-banner-card-desk" TargetMode="External"/><Relationship Id="rId17" Type="http://schemas.openxmlformats.org/officeDocument/2006/relationships/hyperlink" Target="https://www.claropromo.com.br/mesh?utm_source=minhaclaro-deckvendas_web&amp;utm_medium=claropromomesh&amp;utm_campaign=gatilhowifimesh" TargetMode="External"/><Relationship Id="rId25" Type="http://schemas.openxmlformats.org/officeDocument/2006/relationships/hyperlink" Target="https://planos.claro.com.br/checkout/dados-pessoais?affiliateId=r1zJOII0j&amp;internetId=983&amp;utm_source=mcm&amp;utm_medium=banner-card-desk&amp;utm_campaign=mcm-banner-card-desk" TargetMode="External"/><Relationship Id="rId2" Type="http://schemas.openxmlformats.org/officeDocument/2006/relationships/hyperlink" Target="https://flex.claro.com.br/?utm_source=minhaclaro-deckvendas_app&amp;utm_medium=cardflexhome-clientepre&amp;utm_campaign=gatilhoplanosflex&amp;utm_content=flex-home" TargetMode="External"/><Relationship Id="rId16" Type="http://schemas.openxmlformats.org/officeDocument/2006/relationships/hyperlink" Target="https://www.claropromo.com.br/mesh?utm_source=minhaclaro-deckvendas_web&amp;utm_medium=claropromomesh&amp;utm_campaign=gatilhowifimesh" TargetMode="External"/><Relationship Id="rId20" Type="http://schemas.openxmlformats.org/officeDocument/2006/relationships/hyperlink" Target="https://planos.claro.com.br/checkout/dados-pessoais?affiliateId=r1zJOII0j&amp;internetId=1049&amp;utm_source=mcm&amp;utm_medium=banner-card-desk&amp;utm_campaign=mcm-banner-card-desk" TargetMode="External"/><Relationship Id="rId1" Type="http://schemas.openxmlformats.org/officeDocument/2006/relationships/hyperlink" Target="https://flex.claro.com.br/?utm_source=minhaclaro-deckvendas_web&amp;utm_medium=cardflexhome-clientepre&amp;utm_campaign=gatilhoplanosflex&amp;utm_content=flex-home" TargetMode="External"/><Relationship Id="rId6" Type="http://schemas.openxmlformats.org/officeDocument/2006/relationships/hyperlink" Target="https://www.claropromo.com.br/mesh?utm_source=minhaclaro-deckvendas_web&amp;utm_medium=claropromomesh&amp;utm_campaign=gatilhowifimesh" TargetMode="External"/><Relationship Id="rId11" Type="http://schemas.openxmlformats.org/officeDocument/2006/relationships/hyperlink" Target="https://planos.claro.com.br/checkout/dados-pessoais?affiliateId=r1zJOII0j&amp;internetId=902&amp;utm_source=mcm&amp;utm_medium=banner-card-desk&amp;utm_campaign=mcm-banner-card-desk" TargetMode="External"/><Relationship Id="rId24" Type="http://schemas.openxmlformats.org/officeDocument/2006/relationships/hyperlink" Target="https://planos.claro.com.br/checkout/dados-pessoais?affiliateId=r1zJOII0j&amp;internetId=983&amp;utm_source=mcm&amp;utm_medium=banner-card-desk&amp;utm_campaign=mcm-banner-card-desk" TargetMode="External"/><Relationship Id="rId5" Type="http://schemas.openxmlformats.org/officeDocument/2006/relationships/hyperlink" Target="https://www.claropromo.com.br/mesh?utm_source=minhaclaro-deckvendas_web&amp;utm_medium=claropromomesh&amp;utm_campaign=gatilhowifimesh" TargetMode="External"/><Relationship Id="rId15" Type="http://schemas.openxmlformats.org/officeDocument/2006/relationships/hyperlink" Target="https://www.claropromo.com.br/mesh?utm_source=minhaclaro-deckvendas_web&amp;utm_medium=claropromomesh&amp;utm_campaign=gatilhowifimesh" TargetMode="External"/><Relationship Id="rId23" Type="http://schemas.openxmlformats.org/officeDocument/2006/relationships/hyperlink" Target="https://planos.claro.com.br/checkout/dados-pessoais?affiliateId=r1zJOII0j&amp;internetId=983&amp;utm_source=mcm&amp;utm_medium=banner-card-desk&amp;utm_campaign=mcm-banner-card-desk" TargetMode="External"/><Relationship Id="rId28" Type="http://schemas.openxmlformats.org/officeDocument/2006/relationships/ctrlProp" Target="../ctrlProps/ctrlProp12.xml"/><Relationship Id="rId10" Type="http://schemas.openxmlformats.org/officeDocument/2006/relationships/hyperlink" Target="https://planos.claro.com.br/checkout/dados-pessoais?affiliateId=r1zJOII0j&amp;internetId=902&amp;utm_source=mcm&amp;utm_medium=banner-card-desk&amp;utm_campaign=mcm-banner-card-desk" TargetMode="External"/><Relationship Id="rId19" Type="http://schemas.openxmlformats.org/officeDocument/2006/relationships/hyperlink" Target="https://planos.claro.com.br/checkout/dados-pessoais?affiliateId=r1zJOII0j&amp;internetId=1049&amp;utm_source=mcm&amp;utm_medium=banner-card-desk&amp;utm_campaign=mcm-banner-card-desk" TargetMode="External"/><Relationship Id="rId4" Type="http://schemas.openxmlformats.org/officeDocument/2006/relationships/hyperlink" Target="https://www.claropromo.com.br/mesh?utm_source=minhaclaro-deckvendas_web&amp;utm_medium=claropromomesh&amp;utm_campaign=gatilhowifimesh" TargetMode="External"/><Relationship Id="rId9" Type="http://schemas.openxmlformats.org/officeDocument/2006/relationships/hyperlink" Target="https://planos.claro.com.br/checkout/dados-pessoais?affiliateId=r1zJOII0j&amp;internetId=983&amp;utm_source=mcm&amp;utm_medium=banner-card-desk&amp;utm_campaign=mcm-banner-card-desk" TargetMode="External"/><Relationship Id="rId14" Type="http://schemas.openxmlformats.org/officeDocument/2006/relationships/hyperlink" Target="https://planos.claro.com.br/checkout/dados-pessoais?affiliateId=r1zJOII0j&amp;internetId=1049&amp;utm_source=mcm&amp;utm_medium=banner-card-desk&amp;utm_campaign=mcm-banner-card-desk" TargetMode="External"/><Relationship Id="rId22" Type="http://schemas.openxmlformats.org/officeDocument/2006/relationships/hyperlink" Target="https://minhaclaro.claro.com.br/mcpf/index.html" TargetMode="External"/><Relationship Id="rId27" Type="http://schemas.openxmlformats.org/officeDocument/2006/relationships/vmlDrawing" Target="../drawings/vmlDrawing8.v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7" Type="http://schemas.microsoft.com/office/2017/10/relationships/threadedComment" Target="../threadedComments/threadedComment1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s://conteudo.skeelo.com/minhaclaro?utm_source=minhaclaro&amp;utm_medium=banner_desktop&amp;utm_campaign=admiravelmundonovo" TargetMode="External"/><Relationship Id="rId6" Type="http://schemas.openxmlformats.org/officeDocument/2006/relationships/comments" Target="../comments1.xml"/><Relationship Id="rId5" Type="http://schemas.openxmlformats.org/officeDocument/2006/relationships/ctrlProp" Target="../ctrlProps/ctrlProp13.xml"/><Relationship Id="rId4" Type="http://schemas.openxmlformats.org/officeDocument/2006/relationships/vmlDrawing" Target="../drawings/vmlDrawing9.v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hyperlink" Target="https://planoscelular.claro.com.br/claro/pt/offer-plan/externalUri?offerPlanId=22285&amp;coupon=b0faa2bc06d9836abf066270adfe25308348858cfe6301c3a36bb6a12eff728b&amp;msisdn=msisdn&amp;targetCampaign=migra&amp;paymentMethod=debitcard&amp;loyalty=true&amp;invoiceType=DIGITAL&amp;processType=MIGRATE&amp;utm_source=minhaclaro-deckvendas_web&amp;utm_medium=plppos-clientepre&amp;utm_campaign=gatilhomudeseuplano" TargetMode="External"/><Relationship Id="rId2" Type="http://schemas.openxmlformats.org/officeDocument/2006/relationships/hyperlink" Target="https://planoscelular.claro.com.br/claro/pt/c/pospago?q=:recurringPrice-asc:promotionalPaymentMethods:ticket&amp;text=&amp;show=All&amp;utm_source=minhaclaro-deckvendas_web&amp;utm_medium=plppos-clientepos&amp;utm_campaign=gatilhomudeseuplano" TargetMode="External"/><Relationship Id="rId1" Type="http://schemas.openxmlformats.org/officeDocument/2006/relationships/hyperlink" Target="https://planoscelular.claro.com.br/claro/pt/c/pospago?q=:recurringPrice-asc:promotionalPaymentMethods:ticket&amp;text=&amp;show=All&amp;utm_source=minhaclaro-deckvendas_web&amp;utm_medium=plppos-clientepos&amp;utm_campaign=gatilhomudeseuplano" TargetMode="External"/><Relationship Id="rId4" Type="http://schemas.openxmlformats.org/officeDocument/2006/relationships/hyperlink" Target="https://planoscelular.claro.com.br/claro/pt/offer-plan/externalUri?offerPlanId=22382&amp;coupon=51c9f3bbefda4a4fa7be62f9a041b38a&amp;msisdn=msisdn&amp;targetCampaign=migra&amp;paymentMethod=debitcard&amp;loyalty=true&amp;invoiceType=DIGITAL&amp;processType=MIGRATE&amp;utm_source=minhaclaro-deckvendas_web&amp;utm_medium=plppos-clientecontrole&amp;utm_campaign=gatilhomudeseuplano" TargetMode="Externa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hyperlink" Target="https://minhaclaroresidencial.claro.com.br/mude-seu-plano/monte-sua-combinacao?origin=minhanetweb&amp;affiliateId=B1KKRliVY" TargetMode="External"/><Relationship Id="rId7" Type="http://schemas.openxmlformats.org/officeDocument/2006/relationships/printerSettings" Target="../printerSettings/printerSettings12.bin"/><Relationship Id="rId2" Type="http://schemas.openxmlformats.org/officeDocument/2006/relationships/hyperlink" Target="https://minhaclaro.claro.com.br/mcpf/index.html" TargetMode="External"/><Relationship Id="rId1" Type="http://schemas.openxmlformats.org/officeDocument/2006/relationships/hyperlink" Target="https://minhaclaro.claro.com.br/mcpf/index.html" TargetMode="External"/><Relationship Id="rId6" Type="http://schemas.openxmlformats.org/officeDocument/2006/relationships/hyperlink" Target="https://minhaclaroresidencial.claro.com.br/mude-seu-plano/monte-sua-combinacao?origin=minhanetweb&amp;affiliateId=B1KKRliVY" TargetMode="External"/><Relationship Id="rId5" Type="http://schemas.openxmlformats.org/officeDocument/2006/relationships/hyperlink" Target="https://minhaclaroresidencial.claro.com.br/mude-seu-plano/monte-sua-combinacao?auth=token&amp;origin=minhanetapp&amp;affiliateId=rkRzV3Alc&amp;utm_source=app-mcr&amp;utm_medium=home&amp;utm_campaign=mude-seu-plano" TargetMode="External"/><Relationship Id="rId4" Type="http://schemas.openxmlformats.org/officeDocument/2006/relationships/hyperlink" Target="https://minhaclaroresidencial.claro.com.br/mude-seu-plano/monte-sua-combinacao?auth=token&amp;origin=minhanetapp&amp;affiliateId=rkRzV3Alc&amp;utm_source=app-mcr&amp;utm_medium=home&amp;utm_campaign=mude-seu-plano" TargetMode="Externa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hyperlink" Target="https://flex.claro.com.br/" TargetMode="External"/><Relationship Id="rId1" Type="http://schemas.openxmlformats.org/officeDocument/2006/relationships/hyperlink" Target="https://www.claro.com.br/celular/planos-pre/prezao" TargetMode="External"/><Relationship Id="rId5" Type="http://schemas.openxmlformats.org/officeDocument/2006/relationships/ctrlProp" Target="../ctrlProps/ctrlProp14.xml"/><Relationship Id="rId4" Type="http://schemas.openxmlformats.org/officeDocument/2006/relationships/vmlDrawing" Target="../drawings/vmlDrawing10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A73CE-26F6-41AF-A10B-E0E5B8388DE7}">
  <sheetPr codeName="Planilha1"/>
  <dimension ref="C2:H8"/>
  <sheetViews>
    <sheetView workbookViewId="0">
      <selection activeCell="I34" sqref="I34"/>
    </sheetView>
  </sheetViews>
  <sheetFormatPr defaultRowHeight="15" x14ac:dyDescent="0.25"/>
  <cols>
    <col min="1" max="17" width="9.5703125" customWidth="1"/>
  </cols>
  <sheetData>
    <row r="2" spans="3:8" x14ac:dyDescent="0.25">
      <c r="H2" s="1"/>
    </row>
    <row r="4" spans="3:8" x14ac:dyDescent="0.25">
      <c r="C4" s="1"/>
    </row>
    <row r="5" spans="3:8" x14ac:dyDescent="0.25">
      <c r="C5" s="1"/>
    </row>
    <row r="8" spans="3:8" x14ac:dyDescent="0.25">
      <c r="H8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A4C16-1101-4D74-A374-2212CDDC7857}">
  <sheetPr codeName="Planilha24"/>
  <dimension ref="A1:E18"/>
  <sheetViews>
    <sheetView workbookViewId="0">
      <selection activeCell="C5" sqref="C5"/>
    </sheetView>
  </sheetViews>
  <sheetFormatPr defaultRowHeight="15" x14ac:dyDescent="0.25"/>
  <cols>
    <col min="2" max="2" width="49" customWidth="1"/>
    <col min="3" max="3" width="67" bestFit="1" customWidth="1"/>
    <col min="4" max="4" width="25.42578125" customWidth="1"/>
  </cols>
  <sheetData>
    <row r="1" spans="1:5" ht="15.75" thickBot="1" x14ac:dyDescent="0.3">
      <c r="A1" s="59" t="s">
        <v>4</v>
      </c>
      <c r="B1" s="60" t="s">
        <v>5</v>
      </c>
      <c r="C1" s="61" t="s">
        <v>12</v>
      </c>
      <c r="D1" s="28" t="s">
        <v>1195</v>
      </c>
      <c r="E1" s="28" t="s">
        <v>216</v>
      </c>
    </row>
    <row r="2" spans="1:5" ht="15" customHeight="1" thickBot="1" x14ac:dyDescent="0.3">
      <c r="A2" s="56" t="s">
        <v>39</v>
      </c>
      <c r="B2" s="58" t="s">
        <v>473</v>
      </c>
      <c r="C2" s="58" t="s">
        <v>474</v>
      </c>
      <c r="D2" s="28"/>
      <c r="E2" s="28" t="s">
        <v>1196</v>
      </c>
    </row>
    <row r="3" spans="1:5" ht="15" customHeight="1" thickBot="1" x14ac:dyDescent="0.3">
      <c r="A3" s="56" t="s">
        <v>24</v>
      </c>
      <c r="B3" s="58" t="s">
        <v>447</v>
      </c>
      <c r="C3" s="58" t="s">
        <v>450</v>
      </c>
      <c r="D3" s="28"/>
      <c r="E3" s="28" t="s">
        <v>1197</v>
      </c>
    </row>
    <row r="4" spans="1:5" ht="15" customHeight="1" thickBot="1" x14ac:dyDescent="0.3">
      <c r="A4" s="56" t="s">
        <v>39</v>
      </c>
      <c r="B4" s="58" t="s">
        <v>504</v>
      </c>
      <c r="C4" s="58" t="s">
        <v>508</v>
      </c>
      <c r="D4" s="28"/>
      <c r="E4" s="28" t="s">
        <v>1198</v>
      </c>
    </row>
    <row r="5" spans="1:5" ht="15" customHeight="1" thickBot="1" x14ac:dyDescent="0.3">
      <c r="A5" s="56" t="s">
        <v>24</v>
      </c>
      <c r="B5" s="57" t="s">
        <v>1145</v>
      </c>
      <c r="C5" s="58" t="s">
        <v>1194</v>
      </c>
      <c r="D5" s="28"/>
      <c r="E5" s="28" t="s">
        <v>1199</v>
      </c>
    </row>
    <row r="6" spans="1:5" ht="15" customHeight="1" thickBot="1" x14ac:dyDescent="0.3">
      <c r="A6" s="56" t="s">
        <v>65</v>
      </c>
      <c r="B6" s="58" t="s">
        <v>525</v>
      </c>
      <c r="C6" s="58" t="s">
        <v>530</v>
      </c>
      <c r="D6" s="28"/>
      <c r="E6" s="28" t="s">
        <v>1200</v>
      </c>
    </row>
    <row r="7" spans="1:5" ht="15" customHeight="1" thickBot="1" x14ac:dyDescent="0.3">
      <c r="A7" s="56" t="s">
        <v>65</v>
      </c>
      <c r="B7" s="58" t="s">
        <v>1201</v>
      </c>
      <c r="C7" s="58" t="s">
        <v>1011</v>
      </c>
      <c r="D7" s="28"/>
      <c r="E7" s="28" t="s">
        <v>1202</v>
      </c>
    </row>
    <row r="8" spans="1:5" ht="15" customHeight="1" thickBot="1" x14ac:dyDescent="0.3">
      <c r="A8" s="56" t="s">
        <v>39</v>
      </c>
      <c r="B8" s="58" t="s">
        <v>954</v>
      </c>
      <c r="C8" s="58" t="s">
        <v>1012</v>
      </c>
      <c r="D8" s="28"/>
      <c r="E8" s="28" t="s">
        <v>1203</v>
      </c>
    </row>
    <row r="9" spans="1:5" ht="15" customHeight="1" thickBot="1" x14ac:dyDescent="0.3">
      <c r="A9" s="56" t="s">
        <v>39</v>
      </c>
      <c r="B9" s="58" t="s">
        <v>956</v>
      </c>
      <c r="C9" s="58" t="s">
        <v>487</v>
      </c>
      <c r="D9" s="28"/>
      <c r="E9" s="28" t="s">
        <v>1204</v>
      </c>
    </row>
    <row r="10" spans="1:5" ht="15" customHeight="1" thickBot="1" x14ac:dyDescent="0.3">
      <c r="A10" s="56" t="s">
        <v>24</v>
      </c>
      <c r="B10" s="58" t="s">
        <v>953</v>
      </c>
      <c r="C10" s="58" t="s">
        <v>1013</v>
      </c>
      <c r="D10" s="28"/>
      <c r="E10" s="28" t="s">
        <v>1205</v>
      </c>
    </row>
    <row r="11" spans="1:5" ht="15" customHeight="1" thickBot="1" x14ac:dyDescent="0.3">
      <c r="A11" s="56" t="s">
        <v>24</v>
      </c>
      <c r="B11" s="58" t="s">
        <v>1015</v>
      </c>
      <c r="C11" s="58" t="s">
        <v>1014</v>
      </c>
      <c r="D11" s="28"/>
      <c r="E11" s="28" t="s">
        <v>1206</v>
      </c>
    </row>
    <row r="12" spans="1:5" ht="15" customHeight="1" thickBot="1" x14ac:dyDescent="0.3">
      <c r="A12" s="56" t="s">
        <v>24</v>
      </c>
      <c r="B12" s="58" t="s">
        <v>1079</v>
      </c>
      <c r="C12" s="58" t="s">
        <v>1081</v>
      </c>
      <c r="D12" s="28"/>
      <c r="E12" s="28" t="s">
        <v>1207</v>
      </c>
    </row>
    <row r="13" spans="1:5" ht="15" customHeight="1" thickBot="1" x14ac:dyDescent="0.3">
      <c r="A13" s="56" t="s">
        <v>24</v>
      </c>
      <c r="B13" s="57" t="s">
        <v>1145</v>
      </c>
      <c r="C13" s="58" t="s">
        <v>519</v>
      </c>
      <c r="D13" s="28" t="s">
        <v>1208</v>
      </c>
      <c r="E13" s="28" t="s">
        <v>1209</v>
      </c>
    </row>
    <row r="14" spans="1:5" ht="15" customHeight="1" thickBot="1" x14ac:dyDescent="0.3">
      <c r="A14" s="56" t="s">
        <v>39</v>
      </c>
      <c r="B14" s="58" t="s">
        <v>1084</v>
      </c>
      <c r="C14" s="58" t="s">
        <v>1085</v>
      </c>
      <c r="D14" s="28"/>
      <c r="E14" s="28" t="s">
        <v>1210</v>
      </c>
    </row>
    <row r="15" spans="1:5" ht="15" customHeight="1" thickBot="1" x14ac:dyDescent="0.3">
      <c r="A15" s="56" t="s">
        <v>39</v>
      </c>
      <c r="B15" s="58" t="s">
        <v>1146</v>
      </c>
      <c r="C15" s="58" t="s">
        <v>1147</v>
      </c>
      <c r="D15" s="28"/>
      <c r="E15" s="28" t="s">
        <v>1211</v>
      </c>
    </row>
    <row r="16" spans="1:5" ht="15" customHeight="1" thickBot="1" x14ac:dyDescent="0.3">
      <c r="A16" s="56" t="s">
        <v>39</v>
      </c>
      <c r="B16" s="58" t="s">
        <v>1133</v>
      </c>
      <c r="C16" s="58" t="s">
        <v>1136</v>
      </c>
      <c r="D16" s="28"/>
      <c r="E16" s="28" t="s">
        <v>1212</v>
      </c>
    </row>
    <row r="17" spans="1:5" ht="15" customHeight="1" thickBot="1" x14ac:dyDescent="0.3">
      <c r="A17" s="56" t="s">
        <v>65</v>
      </c>
      <c r="B17" s="58" t="s">
        <v>1139</v>
      </c>
      <c r="C17" s="58" t="s">
        <v>1011</v>
      </c>
      <c r="D17" s="62"/>
      <c r="E17" s="28" t="s">
        <v>1202</v>
      </c>
    </row>
    <row r="18" spans="1:5" ht="15" customHeight="1" thickBot="1" x14ac:dyDescent="0.3">
      <c r="A18" s="56" t="s">
        <v>24</v>
      </c>
      <c r="B18" s="57" t="s">
        <v>1145</v>
      </c>
      <c r="C18" s="58" t="s">
        <v>1086</v>
      </c>
      <c r="D18" s="28" t="s">
        <v>1213</v>
      </c>
      <c r="E18" s="28" t="s">
        <v>1214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FDBB7-866E-4B07-BF8D-E4D29723A342}">
  <sheetPr codeName="Planilha19">
    <tabColor theme="5" tint="-0.499984740745262"/>
  </sheetPr>
  <dimension ref="B2:AB36"/>
  <sheetViews>
    <sheetView zoomScale="85" zoomScaleNormal="85" workbookViewId="0">
      <selection activeCell="D4" sqref="D4:AA4"/>
    </sheetView>
  </sheetViews>
  <sheetFormatPr defaultRowHeight="15.75" customHeight="1" x14ac:dyDescent="0.25"/>
  <cols>
    <col min="1" max="1" width="3.140625" customWidth="1"/>
    <col min="2" max="2" width="10" customWidth="1"/>
    <col min="3" max="3" width="12.28515625" customWidth="1"/>
    <col min="5" max="5" width="37.42578125" bestFit="1" customWidth="1"/>
    <col min="6" max="6" width="38" bestFit="1" customWidth="1"/>
    <col min="7" max="7" width="37.28515625" customWidth="1"/>
    <col min="8" max="8" width="13.140625" customWidth="1"/>
    <col min="9" max="9" width="31.85546875" customWidth="1"/>
    <col min="10" max="10" width="40" customWidth="1"/>
    <col min="11" max="11" width="13.28515625" customWidth="1"/>
    <col min="12" max="12" width="14.140625" bestFit="1" customWidth="1"/>
    <col min="13" max="13" width="13.7109375" bestFit="1" customWidth="1"/>
    <col min="14" max="14" width="10.140625" bestFit="1" customWidth="1"/>
    <col min="16" max="18" width="12" customWidth="1"/>
    <col min="19" max="19" width="34.5703125" bestFit="1" customWidth="1"/>
    <col min="20" max="20" width="43.140625" customWidth="1"/>
    <col min="21" max="22" width="21.5703125" customWidth="1"/>
    <col min="23" max="24" width="28.28515625" customWidth="1"/>
    <col min="25" max="25" width="21.5703125" customWidth="1"/>
    <col min="26" max="26" width="11.5703125" customWidth="1"/>
  </cols>
  <sheetData>
    <row r="2" spans="2:28" ht="15.75" customHeight="1" x14ac:dyDescent="0.25">
      <c r="D2" s="23" t="s">
        <v>0</v>
      </c>
      <c r="E2" s="23" t="s">
        <v>1</v>
      </c>
      <c r="F2" s="23" t="s">
        <v>2</v>
      </c>
      <c r="G2" s="23" t="s">
        <v>3</v>
      </c>
      <c r="H2" s="23" t="s">
        <v>4</v>
      </c>
      <c r="I2" s="23" t="s">
        <v>5</v>
      </c>
      <c r="J2" s="23" t="s">
        <v>6</v>
      </c>
      <c r="K2" s="15" t="s">
        <v>8</v>
      </c>
      <c r="L2" s="13" t="s">
        <v>9</v>
      </c>
      <c r="M2" s="13" t="s">
        <v>10</v>
      </c>
      <c r="N2" s="14" t="s">
        <v>9</v>
      </c>
      <c r="O2" s="14" t="s">
        <v>10</v>
      </c>
      <c r="P2" s="22" t="s">
        <v>9</v>
      </c>
      <c r="Q2" s="22" t="s">
        <v>10</v>
      </c>
      <c r="R2" s="23" t="s">
        <v>11</v>
      </c>
      <c r="S2" s="23" t="s">
        <v>12</v>
      </c>
      <c r="T2" s="23" t="s">
        <v>13</v>
      </c>
      <c r="U2" s="23" t="s">
        <v>14</v>
      </c>
      <c r="V2" s="23" t="s">
        <v>15</v>
      </c>
      <c r="W2" s="23"/>
      <c r="X2" s="23" t="s">
        <v>16</v>
      </c>
      <c r="Y2" s="23" t="s">
        <v>17</v>
      </c>
      <c r="Z2" s="23" t="s">
        <v>18</v>
      </c>
      <c r="AA2" s="23" t="s">
        <v>19</v>
      </c>
    </row>
    <row r="3" spans="2:28" ht="15.75" customHeight="1" x14ac:dyDescent="0.25">
      <c r="B3" t="s">
        <v>20</v>
      </c>
    </row>
    <row r="4" spans="2:28" ht="15.75" customHeight="1" x14ac:dyDescent="0.25">
      <c r="B4">
        <v>9</v>
      </c>
      <c r="D4">
        <v>2</v>
      </c>
      <c r="E4" t="s">
        <v>1218</v>
      </c>
      <c r="F4" t="s">
        <v>1223</v>
      </c>
      <c r="G4" t="s">
        <v>1373</v>
      </c>
      <c r="I4" t="s">
        <v>1375</v>
      </c>
      <c r="J4" t="s">
        <v>1376</v>
      </c>
      <c r="K4" s="11" t="s">
        <v>1377</v>
      </c>
      <c r="M4" s="11"/>
      <c r="O4" s="11"/>
      <c r="P4" s="11" t="s">
        <v>31</v>
      </c>
      <c r="Q4" s="11" t="s">
        <v>50</v>
      </c>
      <c r="R4">
        <v>12</v>
      </c>
      <c r="S4" t="s">
        <v>1378</v>
      </c>
      <c r="T4" t="s">
        <v>152</v>
      </c>
      <c r="AA4" s="5" t="s">
        <v>1379</v>
      </c>
    </row>
    <row r="5" spans="2:28" ht="15.75" customHeight="1" x14ac:dyDescent="0.25">
      <c r="L5" s="2"/>
      <c r="N5" s="2"/>
      <c r="P5" s="2"/>
      <c r="Q5" s="11"/>
      <c r="R5" s="2"/>
    </row>
    <row r="6" spans="2:28" ht="15.75" customHeight="1" x14ac:dyDescent="0.25">
      <c r="D6" s="67" t="s">
        <v>35</v>
      </c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7"/>
      <c r="V6" s="67"/>
      <c r="W6" s="67"/>
      <c r="X6" s="67"/>
      <c r="Y6" s="67"/>
      <c r="Z6" s="67"/>
      <c r="AA6" s="67"/>
      <c r="AB6" s="67"/>
    </row>
    <row r="7" spans="2:28" ht="15.75" customHeight="1" x14ac:dyDescent="0.25">
      <c r="D7" s="23" t="s">
        <v>0</v>
      </c>
      <c r="E7" s="23" t="s">
        <v>1</v>
      </c>
      <c r="F7" s="23" t="s">
        <v>2</v>
      </c>
      <c r="G7" s="23" t="s">
        <v>3</v>
      </c>
      <c r="H7" s="23" t="s">
        <v>4</v>
      </c>
      <c r="I7" s="23" t="s">
        <v>5</v>
      </c>
      <c r="J7" s="23" t="s">
        <v>6</v>
      </c>
      <c r="K7" s="15" t="s">
        <v>8</v>
      </c>
      <c r="L7" s="13" t="s">
        <v>9</v>
      </c>
      <c r="M7" s="13" t="s">
        <v>10</v>
      </c>
      <c r="N7" s="14" t="s">
        <v>9</v>
      </c>
      <c r="O7" s="14" t="s">
        <v>10</v>
      </c>
      <c r="P7" s="22" t="s">
        <v>9</v>
      </c>
      <c r="Q7" s="22" t="s">
        <v>10</v>
      </c>
      <c r="R7" s="23" t="s">
        <v>11</v>
      </c>
      <c r="S7" s="26" t="s">
        <v>12</v>
      </c>
      <c r="T7" s="26" t="s">
        <v>13</v>
      </c>
      <c r="U7" s="26" t="s">
        <v>14</v>
      </c>
      <c r="V7" s="26" t="s">
        <v>15</v>
      </c>
      <c r="W7" s="26" t="s">
        <v>16</v>
      </c>
      <c r="X7" s="26" t="s">
        <v>7</v>
      </c>
      <c r="Y7" s="23" t="s">
        <v>17</v>
      </c>
      <c r="Z7" s="23" t="s">
        <v>18</v>
      </c>
      <c r="AA7" s="23" t="s">
        <v>19</v>
      </c>
    </row>
    <row r="8" spans="2:28" ht="15.75" customHeight="1" x14ac:dyDescent="0.25">
      <c r="C8">
        <v>8</v>
      </c>
      <c r="D8">
        <v>1</v>
      </c>
      <c r="E8" t="s">
        <v>1217</v>
      </c>
      <c r="F8" t="s">
        <v>1222</v>
      </c>
      <c r="G8" t="s">
        <v>1228</v>
      </c>
      <c r="I8" t="s">
        <v>473</v>
      </c>
      <c r="J8" t="s">
        <v>492</v>
      </c>
      <c r="K8" s="11" t="s">
        <v>1083</v>
      </c>
      <c r="O8" s="11"/>
      <c r="P8" s="11" t="s">
        <v>31</v>
      </c>
      <c r="Q8" s="11" t="s">
        <v>52</v>
      </c>
      <c r="R8">
        <v>12</v>
      </c>
      <c r="S8" s="11" t="s">
        <v>474</v>
      </c>
      <c r="T8" t="s">
        <v>152</v>
      </c>
      <c r="U8" t="s">
        <v>44</v>
      </c>
      <c r="V8" t="s">
        <v>958</v>
      </c>
      <c r="AA8" s="5" t="s">
        <v>477</v>
      </c>
    </row>
    <row r="9" spans="2:28" ht="15.75" customHeight="1" x14ac:dyDescent="0.25">
      <c r="C9">
        <v>9</v>
      </c>
      <c r="D9">
        <v>2</v>
      </c>
      <c r="E9" t="s">
        <v>1218</v>
      </c>
      <c r="F9" t="s">
        <v>1223</v>
      </c>
      <c r="G9" t="s">
        <v>1373</v>
      </c>
      <c r="I9" t="s">
        <v>1375</v>
      </c>
      <c r="J9" t="s">
        <v>1376</v>
      </c>
      <c r="K9" s="11" t="s">
        <v>1377</v>
      </c>
      <c r="M9" s="11"/>
      <c r="O9" s="11"/>
      <c r="P9" s="11" t="s">
        <v>31</v>
      </c>
      <c r="Q9" s="11" t="s">
        <v>50</v>
      </c>
      <c r="R9">
        <v>12</v>
      </c>
      <c r="S9" t="s">
        <v>1378</v>
      </c>
      <c r="T9" t="s">
        <v>152</v>
      </c>
      <c r="AA9" s="5" t="s">
        <v>1379</v>
      </c>
    </row>
    <row r="10" spans="2:28" ht="15.75" customHeight="1" x14ac:dyDescent="0.25">
      <c r="C10">
        <v>10</v>
      </c>
      <c r="D10">
        <v>3</v>
      </c>
      <c r="E10" t="s">
        <v>1219</v>
      </c>
      <c r="F10" t="s">
        <v>1224</v>
      </c>
      <c r="G10" t="s">
        <v>1230</v>
      </c>
      <c r="I10" t="s">
        <v>447</v>
      </c>
      <c r="J10" t="s">
        <v>498</v>
      </c>
      <c r="K10" s="11" t="s">
        <v>448</v>
      </c>
      <c r="M10" s="11"/>
      <c r="O10" s="11"/>
      <c r="P10" s="11" t="s">
        <v>31</v>
      </c>
      <c r="Q10" s="11" t="s">
        <v>507</v>
      </c>
      <c r="R10">
        <v>12</v>
      </c>
      <c r="S10" s="11" t="s">
        <v>450</v>
      </c>
      <c r="T10" t="s">
        <v>152</v>
      </c>
      <c r="AA10" s="5" t="s">
        <v>1017</v>
      </c>
    </row>
    <row r="11" spans="2:28" ht="15.75" customHeight="1" x14ac:dyDescent="0.25">
      <c r="C11">
        <v>11</v>
      </c>
      <c r="D11">
        <v>4</v>
      </c>
      <c r="E11" t="s">
        <v>1220</v>
      </c>
      <c r="F11" t="s">
        <v>1225</v>
      </c>
      <c r="G11" t="s">
        <v>1227</v>
      </c>
      <c r="I11" t="s">
        <v>1015</v>
      </c>
      <c r="J11" t="s">
        <v>1245</v>
      </c>
      <c r="K11" s="11" t="s">
        <v>528</v>
      </c>
      <c r="M11" s="11"/>
      <c r="O11" s="11"/>
      <c r="P11" s="11" t="s">
        <v>31</v>
      </c>
      <c r="Q11" s="11" t="s">
        <v>1248</v>
      </c>
      <c r="R11">
        <v>12</v>
      </c>
      <c r="S11" t="s">
        <v>1014</v>
      </c>
      <c r="T11" t="s">
        <v>152</v>
      </c>
      <c r="AA11" s="5" t="s">
        <v>1249</v>
      </c>
    </row>
    <row r="12" spans="2:28" ht="15.75" customHeight="1" x14ac:dyDescent="0.25">
      <c r="C12">
        <v>12</v>
      </c>
      <c r="D12">
        <v>5</v>
      </c>
      <c r="E12" t="s">
        <v>1221</v>
      </c>
      <c r="F12" t="s">
        <v>1226</v>
      </c>
      <c r="G12" t="s">
        <v>1229</v>
      </c>
      <c r="I12" t="s">
        <v>1380</v>
      </c>
      <c r="J12" t="s">
        <v>1381</v>
      </c>
      <c r="K12" s="11" t="s">
        <v>1382</v>
      </c>
      <c r="M12" s="11"/>
      <c r="O12" s="11"/>
      <c r="P12" s="11" t="s">
        <v>31</v>
      </c>
      <c r="Q12" s="11" t="s">
        <v>372</v>
      </c>
      <c r="R12">
        <v>12</v>
      </c>
      <c r="S12" t="s">
        <v>1383</v>
      </c>
      <c r="T12" t="s">
        <v>152</v>
      </c>
      <c r="AA12" s="5" t="s">
        <v>1384</v>
      </c>
    </row>
    <row r="13" spans="2:28" ht="15.75" customHeight="1" x14ac:dyDescent="0.25">
      <c r="C13">
        <v>13</v>
      </c>
      <c r="D13">
        <v>6</v>
      </c>
      <c r="G13" t="s">
        <v>1372</v>
      </c>
      <c r="I13" t="s">
        <v>1385</v>
      </c>
      <c r="J13" t="s">
        <v>1386</v>
      </c>
      <c r="K13" s="11" t="s">
        <v>87</v>
      </c>
      <c r="M13" s="11"/>
      <c r="O13" s="11"/>
      <c r="P13" s="11" t="s">
        <v>31</v>
      </c>
      <c r="Q13" s="11" t="s">
        <v>1377</v>
      </c>
      <c r="R13">
        <v>12</v>
      </c>
      <c r="S13" t="s">
        <v>1387</v>
      </c>
      <c r="T13" t="s">
        <v>152</v>
      </c>
      <c r="AA13" s="5" t="s">
        <v>1388</v>
      </c>
    </row>
    <row r="14" spans="2:28" ht="15.75" customHeight="1" x14ac:dyDescent="0.25">
      <c r="C14">
        <v>14</v>
      </c>
      <c r="D14">
        <v>7</v>
      </c>
      <c r="G14" t="s">
        <v>1231</v>
      </c>
      <c r="I14" t="s">
        <v>1389</v>
      </c>
      <c r="J14" t="s">
        <v>1390</v>
      </c>
      <c r="K14" s="11" t="s">
        <v>1391</v>
      </c>
      <c r="M14" s="11"/>
      <c r="O14" s="11"/>
      <c r="P14" s="11" t="s">
        <v>31</v>
      </c>
      <c r="Q14" s="11" t="s">
        <v>1401</v>
      </c>
      <c r="R14">
        <v>12</v>
      </c>
      <c r="S14" t="s">
        <v>1392</v>
      </c>
      <c r="T14" t="s">
        <v>152</v>
      </c>
      <c r="AA14" s="5" t="s">
        <v>1393</v>
      </c>
    </row>
    <row r="15" spans="2:28" ht="15.75" customHeight="1" x14ac:dyDescent="0.25">
      <c r="K15" s="11"/>
      <c r="M15" s="11"/>
      <c r="O15" s="11"/>
      <c r="P15" s="11"/>
      <c r="Q15" s="11"/>
      <c r="AA15" s="5"/>
    </row>
    <row r="16" spans="2:28" ht="15.75" customHeight="1" x14ac:dyDescent="0.25">
      <c r="D16" s="67" t="s">
        <v>81</v>
      </c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W16" s="67"/>
      <c r="X16" s="67"/>
      <c r="Y16" s="67"/>
      <c r="Z16" s="67"/>
      <c r="AA16" s="67"/>
      <c r="AB16" s="67"/>
    </row>
    <row r="17" spans="3:27" ht="15.75" customHeight="1" x14ac:dyDescent="0.25">
      <c r="C17">
        <v>17</v>
      </c>
      <c r="D17">
        <v>1</v>
      </c>
      <c r="E17" t="s">
        <v>82</v>
      </c>
      <c r="F17" t="s">
        <v>83</v>
      </c>
      <c r="G17" t="s">
        <v>84</v>
      </c>
      <c r="H17" t="s">
        <v>24</v>
      </c>
      <c r="I17" t="s">
        <v>85</v>
      </c>
      <c r="J17" t="str">
        <f t="shared" ref="J17:J24" si="0">SUBSTITUTE(UPPER(I17)," ","_")</f>
        <v>GALAXY_S23_PLUS_5G_256GB_CREME</v>
      </c>
      <c r="K17" s="11" t="s">
        <v>86</v>
      </c>
      <c r="L17" t="s">
        <v>27</v>
      </c>
      <c r="M17" s="11" t="s">
        <v>87</v>
      </c>
      <c r="N17" t="s">
        <v>29</v>
      </c>
      <c r="O17" s="11" t="s">
        <v>60</v>
      </c>
      <c r="P17" s="11" t="s">
        <v>31</v>
      </c>
      <c r="Q17" s="11" t="s">
        <v>88</v>
      </c>
      <c r="R17">
        <v>12</v>
      </c>
      <c r="S17" t="s">
        <v>89</v>
      </c>
      <c r="T17" t="s">
        <v>90</v>
      </c>
      <c r="U17" t="s">
        <v>91</v>
      </c>
      <c r="V17" t="s">
        <v>92</v>
      </c>
      <c r="W17" t="s">
        <v>93</v>
      </c>
      <c r="X17" t="str">
        <f t="shared" ref="X17:X24" si="1">LOWER(SUBSTITUTE(I17," ","_"))</f>
        <v>galaxy_s23_plus_5g_256gb_creme</v>
      </c>
      <c r="Y17" t="s">
        <v>94</v>
      </c>
      <c r="Z17" t="s">
        <v>94</v>
      </c>
      <c r="AA17" t="s">
        <v>94</v>
      </c>
    </row>
    <row r="18" spans="3:27" ht="15.75" customHeight="1" x14ac:dyDescent="0.25">
      <c r="C18">
        <v>18</v>
      </c>
      <c r="D18">
        <v>2</v>
      </c>
      <c r="E18" t="s">
        <v>95</v>
      </c>
      <c r="F18" t="s">
        <v>96</v>
      </c>
      <c r="G18" t="s">
        <v>97</v>
      </c>
      <c r="H18" t="s">
        <v>24</v>
      </c>
      <c r="I18" t="s">
        <v>98</v>
      </c>
      <c r="J18" t="str">
        <f t="shared" si="0"/>
        <v>GALAXY_S23_PLUS_5G_256GB_PRETO</v>
      </c>
      <c r="K18" s="11" t="s">
        <v>86</v>
      </c>
      <c r="L18" t="s">
        <v>27</v>
      </c>
      <c r="M18" s="11" t="s">
        <v>87</v>
      </c>
      <c r="N18" t="s">
        <v>29</v>
      </c>
      <c r="O18" s="11" t="s">
        <v>60</v>
      </c>
      <c r="P18" s="11" t="s">
        <v>31</v>
      </c>
      <c r="Q18" s="11" t="s">
        <v>88</v>
      </c>
      <c r="R18">
        <v>12</v>
      </c>
      <c r="S18" t="s">
        <v>99</v>
      </c>
      <c r="T18" t="s">
        <v>61</v>
      </c>
      <c r="U18" t="s">
        <v>100</v>
      </c>
      <c r="V18" t="s">
        <v>101</v>
      </c>
      <c r="W18" t="s">
        <v>102</v>
      </c>
      <c r="X18" t="str">
        <f t="shared" si="1"/>
        <v>galaxy_s23_plus_5g_256gb_preto</v>
      </c>
      <c r="Y18" t="s">
        <v>103</v>
      </c>
      <c r="Z18" t="s">
        <v>103</v>
      </c>
      <c r="AA18" t="s">
        <v>103</v>
      </c>
    </row>
    <row r="19" spans="3:27" ht="15.75" customHeight="1" x14ac:dyDescent="0.25">
      <c r="C19">
        <v>19</v>
      </c>
      <c r="D19">
        <v>3</v>
      </c>
      <c r="E19" t="s">
        <v>104</v>
      </c>
      <c r="F19" t="s">
        <v>105</v>
      </c>
      <c r="G19" t="s">
        <v>106</v>
      </c>
      <c r="H19" t="s">
        <v>24</v>
      </c>
      <c r="I19" t="s">
        <v>107</v>
      </c>
      <c r="J19" t="str">
        <f t="shared" si="0"/>
        <v>GALAXY_S23_PLUS_5G_256GB_VERDE</v>
      </c>
      <c r="K19" s="11" t="s">
        <v>86</v>
      </c>
      <c r="L19" t="s">
        <v>27</v>
      </c>
      <c r="M19" s="11" t="s">
        <v>87</v>
      </c>
      <c r="N19" t="s">
        <v>29</v>
      </c>
      <c r="O19" s="11" t="s">
        <v>60</v>
      </c>
      <c r="P19" s="11" t="s">
        <v>31</v>
      </c>
      <c r="Q19" s="11" t="s">
        <v>88</v>
      </c>
      <c r="R19">
        <v>12</v>
      </c>
      <c r="S19" t="s">
        <v>108</v>
      </c>
      <c r="T19" t="s">
        <v>109</v>
      </c>
      <c r="U19" t="s">
        <v>44</v>
      </c>
      <c r="V19" t="s">
        <v>110</v>
      </c>
      <c r="W19" t="s">
        <v>93</v>
      </c>
      <c r="X19" t="str">
        <f t="shared" si="1"/>
        <v>galaxy_s23_plus_5g_256gb_verde</v>
      </c>
      <c r="Y19" t="s">
        <v>111</v>
      </c>
      <c r="Z19" t="s">
        <v>111</v>
      </c>
      <c r="AA19" t="s">
        <v>111</v>
      </c>
    </row>
    <row r="20" spans="3:27" ht="15.75" customHeight="1" x14ac:dyDescent="0.25">
      <c r="C20">
        <v>20</v>
      </c>
      <c r="D20">
        <v>4</v>
      </c>
      <c r="E20" s="19" t="s">
        <v>112</v>
      </c>
      <c r="F20" t="s">
        <v>113</v>
      </c>
      <c r="G20" t="s">
        <v>114</v>
      </c>
      <c r="H20" t="s">
        <v>24</v>
      </c>
      <c r="I20" t="s">
        <v>115</v>
      </c>
      <c r="J20" t="str">
        <f t="shared" si="0"/>
        <v>GALAXY_S23_PLUS_5G_256GB_VIOLETA</v>
      </c>
      <c r="K20" s="11" t="s">
        <v>86</v>
      </c>
      <c r="L20" t="s">
        <v>27</v>
      </c>
      <c r="M20" s="11" t="s">
        <v>87</v>
      </c>
      <c r="N20" t="s">
        <v>29</v>
      </c>
      <c r="O20" s="11" t="s">
        <v>60</v>
      </c>
      <c r="P20" s="11" t="s">
        <v>31</v>
      </c>
      <c r="Q20" s="11" t="s">
        <v>88</v>
      </c>
      <c r="R20">
        <v>12</v>
      </c>
      <c r="S20" t="s">
        <v>116</v>
      </c>
      <c r="T20" t="s">
        <v>117</v>
      </c>
      <c r="U20" t="s">
        <v>118</v>
      </c>
      <c r="V20" t="s">
        <v>119</v>
      </c>
      <c r="X20" t="str">
        <f t="shared" si="1"/>
        <v>galaxy_s23_plus_5g_256gb_violeta</v>
      </c>
      <c r="Y20" t="s">
        <v>120</v>
      </c>
      <c r="Z20" t="s">
        <v>120</v>
      </c>
      <c r="AA20" t="s">
        <v>120</v>
      </c>
    </row>
    <row r="21" spans="3:27" ht="15.75" customHeight="1" x14ac:dyDescent="0.25">
      <c r="C21">
        <v>21</v>
      </c>
      <c r="D21">
        <v>5</v>
      </c>
      <c r="E21" t="s">
        <v>121</v>
      </c>
      <c r="F21" t="s">
        <v>122</v>
      </c>
      <c r="G21" t="s">
        <v>123</v>
      </c>
      <c r="H21" t="s">
        <v>24</v>
      </c>
      <c r="I21" t="s">
        <v>124</v>
      </c>
      <c r="J21" t="str">
        <f t="shared" si="0"/>
        <v>GALAXY_S23_ULTRA_5G_25GB_CREME</v>
      </c>
      <c r="K21" s="11" t="s">
        <v>26</v>
      </c>
      <c r="L21" t="s">
        <v>27</v>
      </c>
      <c r="M21" s="11" t="s">
        <v>28</v>
      </c>
      <c r="N21" t="s">
        <v>29</v>
      </c>
      <c r="O21" s="11" t="s">
        <v>30</v>
      </c>
      <c r="P21" s="11" t="s">
        <v>31</v>
      </c>
      <c r="Q21" s="11" t="s">
        <v>32</v>
      </c>
      <c r="R21">
        <v>12</v>
      </c>
      <c r="S21" t="s">
        <v>125</v>
      </c>
      <c r="T21" t="s">
        <v>126</v>
      </c>
      <c r="X21" t="str">
        <f t="shared" si="1"/>
        <v>galaxy_s23_ultra_5g_25gb_creme</v>
      </c>
      <c r="Y21" t="s">
        <v>127</v>
      </c>
      <c r="Z21" t="s">
        <v>127</v>
      </c>
      <c r="AA21" t="s">
        <v>127</v>
      </c>
    </row>
    <row r="22" spans="3:27" ht="15.75" customHeight="1" x14ac:dyDescent="0.25">
      <c r="C22">
        <v>22</v>
      </c>
      <c r="D22">
        <v>6</v>
      </c>
      <c r="E22" t="s">
        <v>128</v>
      </c>
      <c r="F22" t="s">
        <v>129</v>
      </c>
      <c r="G22" t="s">
        <v>130</v>
      </c>
      <c r="H22" t="s">
        <v>24</v>
      </c>
      <c r="I22" t="s">
        <v>131</v>
      </c>
      <c r="J22" t="str">
        <f t="shared" si="0"/>
        <v>GALAXY_S23_ULTRA_5G_25GB_PRETO</v>
      </c>
      <c r="K22" s="11" t="s">
        <v>26</v>
      </c>
      <c r="L22" t="s">
        <v>27</v>
      </c>
      <c r="M22" s="11" t="s">
        <v>28</v>
      </c>
      <c r="N22" t="s">
        <v>29</v>
      </c>
      <c r="O22" s="11" t="s">
        <v>30</v>
      </c>
      <c r="P22" s="11" t="s">
        <v>31</v>
      </c>
      <c r="Q22" s="11" t="s">
        <v>32</v>
      </c>
      <c r="R22">
        <v>12</v>
      </c>
      <c r="S22" t="s">
        <v>132</v>
      </c>
      <c r="X22" t="str">
        <f t="shared" si="1"/>
        <v>galaxy_s23_ultra_5g_25gb_preto</v>
      </c>
      <c r="Y22" t="s">
        <v>133</v>
      </c>
      <c r="Z22" t="s">
        <v>133</v>
      </c>
      <c r="AA22" t="s">
        <v>133</v>
      </c>
    </row>
    <row r="23" spans="3:27" ht="15.75" customHeight="1" x14ac:dyDescent="0.25">
      <c r="C23">
        <v>23</v>
      </c>
      <c r="D23">
        <v>7</v>
      </c>
      <c r="E23" t="s">
        <v>134</v>
      </c>
      <c r="F23" t="s">
        <v>135</v>
      </c>
      <c r="G23" t="s">
        <v>136</v>
      </c>
      <c r="H23" t="s">
        <v>24</v>
      </c>
      <c r="I23" t="s">
        <v>137</v>
      </c>
      <c r="J23" t="str">
        <f t="shared" si="0"/>
        <v>GALAXY_S23_ULTRA_5G_25GB_VERDE</v>
      </c>
      <c r="K23" s="11" t="s">
        <v>26</v>
      </c>
      <c r="L23" t="s">
        <v>27</v>
      </c>
      <c r="M23" s="11" t="s">
        <v>28</v>
      </c>
      <c r="N23" t="s">
        <v>29</v>
      </c>
      <c r="O23" s="11" t="s">
        <v>30</v>
      </c>
      <c r="P23" s="11" t="s">
        <v>31</v>
      </c>
      <c r="Q23" s="11" t="s">
        <v>32</v>
      </c>
      <c r="R23">
        <v>12</v>
      </c>
      <c r="S23" t="s">
        <v>138</v>
      </c>
      <c r="X23" t="str">
        <f t="shared" si="1"/>
        <v>galaxy_s23_ultra_5g_25gb_verde</v>
      </c>
      <c r="Y23" t="s">
        <v>139</v>
      </c>
      <c r="Z23" t="s">
        <v>139</v>
      </c>
      <c r="AA23" t="s">
        <v>139</v>
      </c>
    </row>
    <row r="24" spans="3:27" ht="15.75" customHeight="1" x14ac:dyDescent="0.25">
      <c r="C24">
        <v>24</v>
      </c>
      <c r="D24">
        <v>8</v>
      </c>
      <c r="E24" t="s">
        <v>21</v>
      </c>
      <c r="F24" t="s">
        <v>22</v>
      </c>
      <c r="G24" t="s">
        <v>23</v>
      </c>
      <c r="H24" t="s">
        <v>24</v>
      </c>
      <c r="I24" t="s">
        <v>25</v>
      </c>
      <c r="J24" t="str">
        <f t="shared" si="0"/>
        <v>GALAXY_S23_ULTRA_5G_25GB_VIOLETA</v>
      </c>
      <c r="K24" s="11" t="s">
        <v>26</v>
      </c>
      <c r="L24" t="s">
        <v>27</v>
      </c>
      <c r="M24" s="11" t="s">
        <v>28</v>
      </c>
      <c r="N24" t="s">
        <v>29</v>
      </c>
      <c r="O24" s="11" t="s">
        <v>30</v>
      </c>
      <c r="P24" s="11" t="s">
        <v>31</v>
      </c>
      <c r="Q24" s="11" t="s">
        <v>32</v>
      </c>
      <c r="R24">
        <v>12</v>
      </c>
      <c r="S24" t="s">
        <v>33</v>
      </c>
      <c r="X24" t="str">
        <f t="shared" si="1"/>
        <v>galaxy_s23_ultra_5g_25gb_violeta</v>
      </c>
      <c r="Y24" t="s">
        <v>34</v>
      </c>
      <c r="Z24" t="s">
        <v>34</v>
      </c>
      <c r="AA24" t="s">
        <v>34</v>
      </c>
    </row>
    <row r="26" spans="3:27" ht="15.75" customHeight="1" x14ac:dyDescent="0.25">
      <c r="V26" s="25" t="s">
        <v>140</v>
      </c>
      <c r="W26" s="25" t="s">
        <v>141</v>
      </c>
      <c r="X26" s="25"/>
    </row>
    <row r="27" spans="3:27" ht="15.75" customHeight="1" x14ac:dyDescent="0.25">
      <c r="I27" t="s">
        <v>142</v>
      </c>
      <c r="V27" s="25" t="s">
        <v>91</v>
      </c>
      <c r="W27" s="25" t="s">
        <v>143</v>
      </c>
      <c r="X27" s="25"/>
    </row>
    <row r="28" spans="3:27" ht="15.75" customHeight="1" x14ac:dyDescent="0.25">
      <c r="H28" t="s">
        <v>144</v>
      </c>
      <c r="I28" t="s">
        <v>145</v>
      </c>
      <c r="V28" s="25" t="s">
        <v>100</v>
      </c>
      <c r="W28" s="25" t="s">
        <v>146</v>
      </c>
      <c r="X28" s="25"/>
    </row>
    <row r="29" spans="3:27" ht="15.75" customHeight="1" x14ac:dyDescent="0.25">
      <c r="H29" t="s">
        <v>147</v>
      </c>
      <c r="I29" t="s">
        <v>148</v>
      </c>
      <c r="V29" s="25" t="s">
        <v>44</v>
      </c>
      <c r="W29" s="25" t="s">
        <v>149</v>
      </c>
      <c r="X29" s="25"/>
    </row>
    <row r="30" spans="3:27" ht="15.75" customHeight="1" x14ac:dyDescent="0.25">
      <c r="V30" s="25" t="s">
        <v>118</v>
      </c>
      <c r="W30" s="25" t="s">
        <v>150</v>
      </c>
      <c r="X30" s="25"/>
    </row>
    <row r="31" spans="3:27" ht="15.75" customHeight="1" x14ac:dyDescent="0.25">
      <c r="R31" t="s">
        <v>151</v>
      </c>
    </row>
    <row r="32" spans="3:27" ht="15.75" customHeight="1" x14ac:dyDescent="0.25">
      <c r="R32" t="s">
        <v>61</v>
      </c>
    </row>
    <row r="33" spans="18:18" ht="15.75" customHeight="1" x14ac:dyDescent="0.25">
      <c r="R33" t="s">
        <v>109</v>
      </c>
    </row>
    <row r="34" spans="18:18" ht="15.75" customHeight="1" x14ac:dyDescent="0.25">
      <c r="R34" t="s">
        <v>117</v>
      </c>
    </row>
    <row r="35" spans="18:18" ht="15.75" customHeight="1" x14ac:dyDescent="0.25">
      <c r="R35" t="s">
        <v>126</v>
      </c>
    </row>
    <row r="36" spans="18:18" ht="15.75" customHeight="1" x14ac:dyDescent="0.25">
      <c r="R36" t="s">
        <v>152</v>
      </c>
    </row>
  </sheetData>
  <mergeCells count="2">
    <mergeCell ref="D16:AB16"/>
    <mergeCell ref="D6:AB6"/>
  </mergeCells>
  <phoneticPr fontId="22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VITRINE">
                <anchor moveWithCells="1" sizeWithCells="1">
                  <from>
                    <xdr:col>2</xdr:col>
                    <xdr:colOff>0</xdr:colOff>
                    <xdr:row>2</xdr:row>
                    <xdr:rowOff>19050</xdr:rowOff>
                  </from>
                  <to>
                    <xdr:col>2</xdr:col>
                    <xdr:colOff>1143000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VITRINE_POS">
                <anchor moveWithCells="1" sizeWithCells="1">
                  <from>
                    <xdr:col>1</xdr:col>
                    <xdr:colOff>657225</xdr:colOff>
                    <xdr:row>5</xdr:row>
                    <xdr:rowOff>19050</xdr:rowOff>
                  </from>
                  <to>
                    <xdr:col>2</xdr:col>
                    <xdr:colOff>800100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1FE5DF-FB6F-4E64-B4FA-F8AB0B405F93}">
  <sheetPr codeName="Planilha20">
    <tabColor theme="5" tint="-0.499984740745262"/>
  </sheetPr>
  <dimension ref="A1:M91"/>
  <sheetViews>
    <sheetView workbookViewId="0">
      <selection activeCell="B27" sqref="B27"/>
    </sheetView>
  </sheetViews>
  <sheetFormatPr defaultRowHeight="15" x14ac:dyDescent="0.25"/>
  <cols>
    <col min="1" max="1" width="76.28515625" customWidth="1"/>
    <col min="2" max="2" width="37.140625" customWidth="1"/>
    <col min="3" max="3" width="7" customWidth="1"/>
    <col min="4" max="4" width="42.7109375" customWidth="1"/>
    <col min="5" max="5" width="37.140625" customWidth="1"/>
    <col min="7" max="7" width="54.28515625" customWidth="1"/>
    <col min="8" max="8" width="37.140625" customWidth="1"/>
    <col min="10" max="10" width="77.5703125" customWidth="1"/>
    <col min="11" max="11" width="16.28515625" customWidth="1"/>
    <col min="12" max="12" width="61.7109375" customWidth="1"/>
  </cols>
  <sheetData>
    <row r="1" spans="1:13" x14ac:dyDescent="0.25">
      <c r="A1" s="68" t="s">
        <v>153</v>
      </c>
      <c r="B1" s="68"/>
      <c r="D1" s="68" t="s">
        <v>154</v>
      </c>
      <c r="E1" s="68"/>
      <c r="G1" s="68" t="s">
        <v>155</v>
      </c>
      <c r="H1" s="68"/>
      <c r="J1" t="s">
        <v>156</v>
      </c>
      <c r="K1" s="5" t="s">
        <v>157</v>
      </c>
    </row>
    <row r="2" spans="1:13" x14ac:dyDescent="0.25">
      <c r="A2" t="s">
        <v>158</v>
      </c>
      <c r="D2" t="s">
        <v>158</v>
      </c>
      <c r="G2" t="s">
        <v>158</v>
      </c>
      <c r="J2" t="s">
        <v>159</v>
      </c>
    </row>
    <row r="3" spans="1:13" x14ac:dyDescent="0.25">
      <c r="A3" t="s">
        <v>160</v>
      </c>
      <c r="B3" t="str">
        <f>'VITRINE APARELHOS'!E4</f>
        <v>502ac7aa-6b92-43ac-b7ed-c3eca82b66df</v>
      </c>
      <c r="C3" t="s">
        <v>161</v>
      </c>
      <c r="D3" t="s">
        <v>160</v>
      </c>
      <c r="E3" t="str">
        <f>'VITRINE APARELHOS'!F4</f>
        <v>16cf425c-e602-4874-a152-dbacbf0ee0b6</v>
      </c>
      <c r="F3" t="s">
        <v>161</v>
      </c>
      <c r="G3" t="s">
        <v>160</v>
      </c>
      <c r="H3" t="str">
        <f>'VITRINE APARELHOS'!G4</f>
        <v>076c23bb-d013-4286-aa1d-729d4f85b9ed</v>
      </c>
      <c r="I3" t="s">
        <v>161</v>
      </c>
      <c r="J3" t="str">
        <f>K3&amp;L3&amp;M3</f>
        <v xml:space="preserve">  \"TITULO\": \"vitrine exclusiva\",</v>
      </c>
      <c r="K3" t="s">
        <v>162</v>
      </c>
      <c r="L3" s="35" t="s">
        <v>1371</v>
      </c>
      <c r="M3" t="s">
        <v>163</v>
      </c>
    </row>
    <row r="4" spans="1:13" x14ac:dyDescent="0.25">
      <c r="A4" t="s">
        <v>164</v>
      </c>
      <c r="B4" t="s">
        <v>165</v>
      </c>
      <c r="C4" t="s">
        <v>166</v>
      </c>
      <c r="D4" t="s">
        <v>164</v>
      </c>
      <c r="E4" s="7" t="str">
        <f>B4</f>
        <v>true</v>
      </c>
      <c r="F4" t="s">
        <v>166</v>
      </c>
      <c r="G4" t="s">
        <v>164</v>
      </c>
      <c r="H4" s="7" t="str">
        <f>B4</f>
        <v>true</v>
      </c>
      <c r="I4" t="s">
        <v>166</v>
      </c>
      <c r="J4" t="str">
        <f>K4&amp;L4&amp;M4</f>
        <v xml:space="preserve">  \"TEXTO_1\": \"Promoção Dia das Mães\",</v>
      </c>
      <c r="K4" t="s">
        <v>167</v>
      </c>
      <c r="L4" s="35" t="s">
        <v>1370</v>
      </c>
      <c r="M4" t="s">
        <v>163</v>
      </c>
    </row>
    <row r="5" spans="1:13" x14ac:dyDescent="0.25">
      <c r="A5" t="s">
        <v>168</v>
      </c>
      <c r="B5" s="1" t="str">
        <f>'VITRINE APARELHOS'!J4&amp;"PRE"</f>
        <v>MOTOEDGE30NEO256GBPRE</v>
      </c>
      <c r="C5" t="s">
        <v>161</v>
      </c>
      <c r="D5" t="s">
        <v>168</v>
      </c>
      <c r="E5" s="1" t="str">
        <f>'VITRINE APARELHOS'!J4&amp;"CTRL"</f>
        <v>MOTOEDGE30NEO256GBCTRL</v>
      </c>
      <c r="F5" t="s">
        <v>161</v>
      </c>
      <c r="G5" t="s">
        <v>168</v>
      </c>
      <c r="H5" s="1" t="str">
        <f>'VITRINE APARELHOS'!J4&amp;"POS"</f>
        <v>MOTOEDGE30NEO256GBPOS</v>
      </c>
      <c r="I5" t="s">
        <v>161</v>
      </c>
      <c r="J5" t="str">
        <f>K5&amp;L5&amp;M5</f>
        <v xml:space="preserve">  \"TEXTO_2\": \"\",</v>
      </c>
      <c r="K5" t="s">
        <v>169</v>
      </c>
      <c r="L5" s="35"/>
      <c r="M5" t="s">
        <v>163</v>
      </c>
    </row>
    <row r="6" spans="1:13" x14ac:dyDescent="0.25">
      <c r="A6" t="s">
        <v>170</v>
      </c>
      <c r="D6" t="s">
        <v>170</v>
      </c>
      <c r="G6" t="s">
        <v>170</v>
      </c>
      <c r="J6" t="s">
        <v>171</v>
      </c>
    </row>
    <row r="7" spans="1:13" x14ac:dyDescent="0.25">
      <c r="A7" t="s">
        <v>172</v>
      </c>
      <c r="B7" s="2" t="str">
        <f>IF('VITRINE APARELHOS'!X8=0,"",'VITRINE APARELHOS'!X8)</f>
        <v/>
      </c>
      <c r="C7" t="s">
        <v>163</v>
      </c>
      <c r="D7" t="s">
        <v>172</v>
      </c>
      <c r="E7" t="str">
        <f>IF('VITRINE APARELHOS'!X8=0,"",'VITRINE APARELHOS'!X8)</f>
        <v/>
      </c>
      <c r="F7" t="s">
        <v>163</v>
      </c>
      <c r="G7" t="s">
        <v>172</v>
      </c>
      <c r="H7" t="str">
        <f>IF('VITRINE APARELHOS'!X8=0,"",'VITRINE APARELHOS'!X8)</f>
        <v/>
      </c>
      <c r="I7" t="s">
        <v>163</v>
      </c>
      <c r="J7" t="str">
        <f>K8&amp;L8&amp;M8</f>
        <v xml:space="preserve"> \"URL_IMG\": \"https://assets.clarobrasil.mobi/ecommerce-config/sales-deck/explore_todos_os_modelos.png\",</v>
      </c>
    </row>
    <row r="8" spans="1:13" x14ac:dyDescent="0.25">
      <c r="A8" t="s">
        <v>173</v>
      </c>
      <c r="B8" s="18" t="str">
        <f>'VITRINE APARELHOS'!K4</f>
        <v>2.789,00</v>
      </c>
      <c r="C8" t="s">
        <v>163</v>
      </c>
      <c r="D8" t="s">
        <v>173</v>
      </c>
      <c r="E8" s="8" t="str">
        <f>B8</f>
        <v>2.789,00</v>
      </c>
      <c r="F8" t="s">
        <v>163</v>
      </c>
      <c r="G8" t="s">
        <v>173</v>
      </c>
      <c r="H8" s="8" t="str">
        <f>B8</f>
        <v>2.789,00</v>
      </c>
      <c r="I8" t="s">
        <v>163</v>
      </c>
      <c r="K8" t="s">
        <v>174</v>
      </c>
      <c r="L8" s="37" t="s">
        <v>175</v>
      </c>
      <c r="M8" t="s">
        <v>163</v>
      </c>
    </row>
    <row r="9" spans="1:13" x14ac:dyDescent="0.25">
      <c r="A9" t="s">
        <v>176</v>
      </c>
      <c r="B9" s="18">
        <f>'VITRINE APARELHOS'!M4</f>
        <v>0</v>
      </c>
      <c r="C9" t="s">
        <v>163</v>
      </c>
      <c r="D9" t="s">
        <v>176</v>
      </c>
      <c r="E9" s="18">
        <f>'VITRINE APARELHOS'!O4</f>
        <v>0</v>
      </c>
      <c r="F9" t="s">
        <v>163</v>
      </c>
      <c r="G9" t="s">
        <v>176</v>
      </c>
      <c r="H9" s="18" t="str">
        <f>'VITRINE APARELHOS'!Q4</f>
        <v>989,00</v>
      </c>
      <c r="I9" t="s">
        <v>163</v>
      </c>
    </row>
    <row r="10" spans="1:13" x14ac:dyDescent="0.25">
      <c r="A10" t="s">
        <v>177</v>
      </c>
      <c r="B10">
        <f>INT(B9/B11)+0.99</f>
        <v>0.99</v>
      </c>
      <c r="C10" t="s">
        <v>163</v>
      </c>
      <c r="D10" t="s">
        <v>177</v>
      </c>
      <c r="E10" s="2">
        <f>INT(E9/E11)+0.99</f>
        <v>0.99</v>
      </c>
      <c r="F10" t="s">
        <v>163</v>
      </c>
      <c r="G10" t="s">
        <v>177</v>
      </c>
      <c r="H10" s="2">
        <f>INT(H9/H11)+0.99</f>
        <v>82.99</v>
      </c>
      <c r="I10" t="s">
        <v>163</v>
      </c>
    </row>
    <row r="11" spans="1:13" x14ac:dyDescent="0.25">
      <c r="A11" t="s">
        <v>178</v>
      </c>
      <c r="B11" s="6">
        <v>24</v>
      </c>
      <c r="C11" t="s">
        <v>163</v>
      </c>
      <c r="D11" t="s">
        <v>178</v>
      </c>
      <c r="E11" s="9">
        <f>'VITRINE APARELHOS'!R4</f>
        <v>12</v>
      </c>
      <c r="F11" t="s">
        <v>163</v>
      </c>
      <c r="G11" t="s">
        <v>178</v>
      </c>
      <c r="H11" s="9">
        <f>'VITRINE APARELHOS'!R4</f>
        <v>12</v>
      </c>
      <c r="I11" t="s">
        <v>163</v>
      </c>
    </row>
    <row r="12" spans="1:13" x14ac:dyDescent="0.25">
      <c r="A12" t="s">
        <v>174</v>
      </c>
      <c r="B12" t="str">
        <f>K1&amp;'VITRINE APARELHOS'!S4</f>
        <v>https://assets.clarobrasil.mobi/ecommerce-config/sales-deck/claro_0_motorola_edge30_neo_preto.png</v>
      </c>
      <c r="C12" t="s">
        <v>163</v>
      </c>
      <c r="D12" t="s">
        <v>174</v>
      </c>
      <c r="E12" s="7" t="str">
        <f>B12</f>
        <v>https://assets.clarobrasil.mobi/ecommerce-config/sales-deck/claro_0_motorola_edge30_neo_preto.png</v>
      </c>
      <c r="F12" t="s">
        <v>163</v>
      </c>
      <c r="G12" t="s">
        <v>174</v>
      </c>
      <c r="H12" s="7" t="str">
        <f>B12</f>
        <v>https://assets.clarobrasil.mobi/ecommerce-config/sales-deck/claro_0_motorola_edge30_neo_preto.png</v>
      </c>
      <c r="I12" t="s">
        <v>163</v>
      </c>
    </row>
    <row r="13" spans="1:13" x14ac:dyDescent="0.25">
      <c r="A13" t="s">
        <v>179</v>
      </c>
      <c r="B13" t="str">
        <f>IF('VITRINE APARELHOS'!T4=0,"",K1&amp;'VITRINE APARELHOS'!T4)</f>
        <v>https://assets.clarobrasil.mobi/ecommerce-config/sales-deck/5gmais.png</v>
      </c>
      <c r="C13" t="s">
        <v>163</v>
      </c>
      <c r="D13" t="s">
        <v>179</v>
      </c>
      <c r="E13" s="7" t="str">
        <f>B13</f>
        <v>https://assets.clarobrasil.mobi/ecommerce-config/sales-deck/5gmais.png</v>
      </c>
      <c r="F13" t="s">
        <v>163</v>
      </c>
      <c r="G13" t="s">
        <v>179</v>
      </c>
      <c r="H13" s="7" t="str">
        <f>B13</f>
        <v>https://assets.clarobrasil.mobi/ecommerce-config/sales-deck/5gmais.png</v>
      </c>
      <c r="I13" t="s">
        <v>163</v>
      </c>
    </row>
    <row r="14" spans="1:13" x14ac:dyDescent="0.25">
      <c r="A14" t="s">
        <v>180</v>
      </c>
      <c r="B14" t="str">
        <f>IF('VITRINE APARELHOS'!U4=0,"",'VITRINE APARELHOS'!U4)</f>
        <v/>
      </c>
      <c r="C14" t="s">
        <v>163</v>
      </c>
      <c r="D14" t="s">
        <v>180</v>
      </c>
      <c r="E14" s="7" t="str">
        <f>B14</f>
        <v/>
      </c>
      <c r="F14" t="s">
        <v>163</v>
      </c>
      <c r="G14" t="s">
        <v>180</v>
      </c>
      <c r="H14" s="7" t="str">
        <f>B14</f>
        <v/>
      </c>
      <c r="I14" t="s">
        <v>163</v>
      </c>
    </row>
    <row r="15" spans="1:13" x14ac:dyDescent="0.25">
      <c r="A15" t="s">
        <v>181</v>
      </c>
      <c r="B15" t="str">
        <f>IF('VITRINE APARELHOS'!V4=0,"",'VITRINE APARELHOS'!V4)</f>
        <v/>
      </c>
      <c r="C15" t="s">
        <v>163</v>
      </c>
      <c r="D15" t="s">
        <v>181</v>
      </c>
      <c r="E15" s="7" t="str">
        <f>B15</f>
        <v/>
      </c>
      <c r="F15" t="s">
        <v>163</v>
      </c>
      <c r="G15" t="s">
        <v>181</v>
      </c>
      <c r="H15" s="7" t="str">
        <f>B15</f>
        <v/>
      </c>
      <c r="I15" t="s">
        <v>163</v>
      </c>
    </row>
    <row r="16" spans="1:13" x14ac:dyDescent="0.25">
      <c r="A16" t="s">
        <v>182</v>
      </c>
      <c r="B16" t="str">
        <f>IF('VITRINE APARELHOS'!X4=0,"",K1&amp;'VITRINE APARELHOS'!X4)</f>
        <v/>
      </c>
      <c r="C16" t="s">
        <v>183</v>
      </c>
      <c r="D16" t="s">
        <v>182</v>
      </c>
      <c r="E16" s="7" t="str">
        <f>B16</f>
        <v/>
      </c>
      <c r="F16" t="s">
        <v>183</v>
      </c>
      <c r="G16" t="s">
        <v>182</v>
      </c>
      <c r="H16" s="7" t="str">
        <f>B16</f>
        <v/>
      </c>
      <c r="I16" t="s">
        <v>183</v>
      </c>
    </row>
    <row r="17" spans="1:9" x14ac:dyDescent="0.25">
      <c r="A17" t="s">
        <v>184</v>
      </c>
      <c r="D17" t="s">
        <v>184</v>
      </c>
      <c r="G17" t="s">
        <v>184</v>
      </c>
    </row>
    <row r="18" spans="1:9" x14ac:dyDescent="0.25">
      <c r="A18" t="s">
        <v>185</v>
      </c>
      <c r="D18" t="s">
        <v>185</v>
      </c>
      <c r="G18" t="s">
        <v>185</v>
      </c>
    </row>
    <row r="19" spans="1:9" x14ac:dyDescent="0.25">
      <c r="A19" t="s">
        <v>186</v>
      </c>
      <c r="B19" s="5" t="str">
        <f>'VITRINE APARELHOS'!Y4&amp;'VITRINE APARELHOS'!I29</f>
        <v>&amp;utm_source=minhaclaro-deckvendas_app</v>
      </c>
      <c r="C19" t="s">
        <v>163</v>
      </c>
      <c r="D19" t="s">
        <v>186</v>
      </c>
      <c r="E19" t="str">
        <f>'VITRINE APARELHOS'!Z4&amp;'VITRINE APARELHOS'!I29</f>
        <v>&amp;utm_source=minhaclaro-deckvendas_app</v>
      </c>
      <c r="F19" t="s">
        <v>163</v>
      </c>
      <c r="G19" t="s">
        <v>186</v>
      </c>
      <c r="H19" t="str">
        <f>'VITRINE APARELHOS'!AA4&amp;'VITRINE APARELHOS'!I29</f>
        <v>https://planoscelular.claro.com.br/claroCampaigns/subcampaign?sku=000000000000018368&amp;campaign=CBA&amp;subCampaign=&amp;paymentMethod=debitcard&amp;loyalty=true&amp;invoiceType=DIGITAL&amp;city=&amp;state=&amp;processType=migrate&amp;offerPlanId=22375&amp;smartphone=true&amp;utm_source=minhaclaro-deckvendas_app</v>
      </c>
      <c r="I19" t="s">
        <v>163</v>
      </c>
    </row>
    <row r="20" spans="1:9" x14ac:dyDescent="0.25">
      <c r="A20" t="s">
        <v>187</v>
      </c>
      <c r="B20" s="5" t="str">
        <f>'VITRINE APARELHOS'!Y4&amp;'VITRINE APARELHOS'!I28</f>
        <v>&amp;utm_source=minhaclaro-deckvendas_web</v>
      </c>
      <c r="C20" t="s">
        <v>163</v>
      </c>
      <c r="D20" t="s">
        <v>187</v>
      </c>
      <c r="E20" t="str">
        <f>'VITRINE APARELHOS'!Z4&amp;'VITRINE APARELHOS'!I28</f>
        <v>&amp;utm_source=minhaclaro-deckvendas_web</v>
      </c>
      <c r="F20" t="s">
        <v>163</v>
      </c>
      <c r="G20" t="s">
        <v>187</v>
      </c>
      <c r="H20" t="str">
        <f>'VITRINE APARELHOS'!AA4&amp;'VITRINE APARELHOS'!I28</f>
        <v>https://planoscelular.claro.com.br/claroCampaigns/subcampaign?sku=000000000000018368&amp;campaign=CBA&amp;subCampaign=&amp;paymentMethod=debitcard&amp;loyalty=true&amp;invoiceType=DIGITAL&amp;city=&amp;state=&amp;processType=migrate&amp;offerPlanId=22375&amp;smartphone=true&amp;utm_source=minhaclaro-deckvendas_web</v>
      </c>
      <c r="I20" t="s">
        <v>163</v>
      </c>
    </row>
    <row r="21" spans="1:9" x14ac:dyDescent="0.25">
      <c r="A21" t="s">
        <v>188</v>
      </c>
      <c r="B21" s="5" t="str">
        <f>'VITRINE APARELHOS'!Y4&amp;'VITRINE APARELHOS'!I29</f>
        <v>&amp;utm_source=minhaclaro-deckvendas_app</v>
      </c>
      <c r="C21" t="s">
        <v>183</v>
      </c>
      <c r="D21" t="s">
        <v>188</v>
      </c>
      <c r="E21" t="str">
        <f>'VITRINE APARELHOS'!Z4&amp;'VITRINE APARELHOS'!I29</f>
        <v>&amp;utm_source=minhaclaro-deckvendas_app</v>
      </c>
      <c r="F21" t="s">
        <v>183</v>
      </c>
      <c r="G21" t="s">
        <v>188</v>
      </c>
      <c r="H21" t="str">
        <f>'VITRINE APARELHOS'!AA4&amp;'VITRINE APARELHOS'!I29</f>
        <v>https://planoscelular.claro.com.br/claroCampaigns/subcampaign?sku=000000000000018368&amp;campaign=CBA&amp;subCampaign=&amp;paymentMethod=debitcard&amp;loyalty=true&amp;invoiceType=DIGITAL&amp;city=&amp;state=&amp;processType=migrate&amp;offerPlanId=22375&amp;smartphone=true&amp;utm_source=minhaclaro-deckvendas_app</v>
      </c>
      <c r="I21" t="s">
        <v>183</v>
      </c>
    </row>
    <row r="22" spans="1:9" x14ac:dyDescent="0.25">
      <c r="A22" t="s">
        <v>184</v>
      </c>
      <c r="D22" t="s">
        <v>184</v>
      </c>
      <c r="G22" t="s">
        <v>184</v>
      </c>
    </row>
    <row r="23" spans="1:9" x14ac:dyDescent="0.25">
      <c r="A23" t="s">
        <v>189</v>
      </c>
      <c r="B23" s="10" t="s">
        <v>190</v>
      </c>
      <c r="C23" t="s">
        <v>161</v>
      </c>
      <c r="D23" t="s">
        <v>189</v>
      </c>
      <c r="E23" s="7" t="str">
        <f>B23</f>
        <v>Carrossel de Aparelhos - Deck de Vendas</v>
      </c>
      <c r="F23" t="s">
        <v>161</v>
      </c>
      <c r="G23" t="s">
        <v>189</v>
      </c>
      <c r="H23" s="7" t="str">
        <f>B23</f>
        <v>Carrossel de Aparelhos - Deck de Vendas</v>
      </c>
      <c r="I23" t="s">
        <v>161</v>
      </c>
    </row>
    <row r="24" spans="1:9" x14ac:dyDescent="0.25">
      <c r="A24" t="s">
        <v>191</v>
      </c>
      <c r="B24" t="s">
        <v>192</v>
      </c>
      <c r="C24" t="s">
        <v>161</v>
      </c>
      <c r="D24" t="s">
        <v>191</v>
      </c>
      <c r="E24" t="s">
        <v>193</v>
      </c>
      <c r="F24" t="s">
        <v>161</v>
      </c>
      <c r="G24" t="s">
        <v>191</v>
      </c>
      <c r="H24" t="s">
        <v>194</v>
      </c>
      <c r="I24" t="s">
        <v>161</v>
      </c>
    </row>
    <row r="25" spans="1:9" x14ac:dyDescent="0.25">
      <c r="A25" t="s">
        <v>195</v>
      </c>
      <c r="B25" t="str">
        <f>'VITRINE APARELHOS'!I4</f>
        <v>Moto Edge 30 Neo 256GB</v>
      </c>
      <c r="C25" t="s">
        <v>161</v>
      </c>
      <c r="D25" t="s">
        <v>195</v>
      </c>
      <c r="E25" s="7" t="str">
        <f>B25</f>
        <v>Moto Edge 30 Neo 256GB</v>
      </c>
      <c r="F25" t="s">
        <v>161</v>
      </c>
      <c r="G25" t="s">
        <v>195</v>
      </c>
      <c r="H25" s="7" t="str">
        <f>B25</f>
        <v>Moto Edge 30 Neo 256GB</v>
      </c>
      <c r="I25" t="s">
        <v>161</v>
      </c>
    </row>
    <row r="26" spans="1:9" x14ac:dyDescent="0.25">
      <c r="A26" t="s">
        <v>196</v>
      </c>
      <c r="B26">
        <f>'VITRINE APARELHOS'!D4</f>
        <v>2</v>
      </c>
      <c r="C26" t="s">
        <v>166</v>
      </c>
      <c r="D26" t="s">
        <v>196</v>
      </c>
      <c r="E26" s="7">
        <f>B26</f>
        <v>2</v>
      </c>
      <c r="F26" t="s">
        <v>166</v>
      </c>
      <c r="G26" t="s">
        <v>196</v>
      </c>
      <c r="H26" s="7">
        <f>B26</f>
        <v>2</v>
      </c>
      <c r="I26" t="s">
        <v>166</v>
      </c>
    </row>
    <row r="27" spans="1:9" x14ac:dyDescent="0.25">
      <c r="A27" t="s">
        <v>197</v>
      </c>
      <c r="B27" t="str">
        <f>IF('VITRINE APARELHOS'!H4="","",'VITRINE APARELHOS'!H4)</f>
        <v/>
      </c>
      <c r="C27" t="s">
        <v>161</v>
      </c>
      <c r="D27" t="s">
        <v>197</v>
      </c>
      <c r="E27" s="7" t="str">
        <f>B27</f>
        <v/>
      </c>
      <c r="F27" t="s">
        <v>161</v>
      </c>
      <c r="G27" t="s">
        <v>197</v>
      </c>
      <c r="H27" s="7" t="str">
        <f>B27</f>
        <v/>
      </c>
      <c r="I27" t="s">
        <v>161</v>
      </c>
    </row>
    <row r="28" spans="1:9" x14ac:dyDescent="0.25">
      <c r="A28" t="s">
        <v>198</v>
      </c>
      <c r="B28">
        <f>'VITRINE APARELHOS'!L4</f>
        <v>0</v>
      </c>
      <c r="C28" t="s">
        <v>161</v>
      </c>
      <c r="D28" t="s">
        <v>198</v>
      </c>
      <c r="E28">
        <f>'VITRINE APARELHOS'!N4</f>
        <v>0</v>
      </c>
      <c r="F28" t="s">
        <v>161</v>
      </c>
      <c r="G28" t="s">
        <v>198</v>
      </c>
      <c r="H28" t="str">
        <f>IF('VITRINE APARELHOS'!P4=0,"",'VITRINE APARELHOS'!P4)</f>
        <v>Pós 400GB</v>
      </c>
      <c r="I28" t="s">
        <v>161</v>
      </c>
    </row>
    <row r="29" spans="1:9" x14ac:dyDescent="0.25">
      <c r="A29" t="s">
        <v>199</v>
      </c>
      <c r="B29" s="10" t="s">
        <v>200</v>
      </c>
      <c r="C29" t="s">
        <v>201</v>
      </c>
      <c r="D29" t="s">
        <v>199</v>
      </c>
      <c r="E29" s="10" t="s">
        <v>200</v>
      </c>
      <c r="F29" t="s">
        <v>201</v>
      </c>
      <c r="G29" t="s">
        <v>199</v>
      </c>
      <c r="H29" s="10" t="s">
        <v>200</v>
      </c>
      <c r="I29" t="s">
        <v>201</v>
      </c>
    </row>
    <row r="30" spans="1:9" x14ac:dyDescent="0.25">
      <c r="A30" t="s">
        <v>202</v>
      </c>
      <c r="D30" t="s">
        <v>202</v>
      </c>
      <c r="G30" t="s">
        <v>202</v>
      </c>
    </row>
    <row r="33" spans="1:1" x14ac:dyDescent="0.25">
      <c r="A33" s="24" t="s">
        <v>203</v>
      </c>
    </row>
    <row r="34" spans="1:1" x14ac:dyDescent="0.25">
      <c r="A34" t="str">
        <f>A2</f>
        <v>{</v>
      </c>
    </row>
    <row r="35" spans="1:1" x14ac:dyDescent="0.25">
      <c r="A35" t="str">
        <f>A3&amp;B3&amp;C3</f>
        <v xml:space="preserve"> "idcampanha":"502ac7aa-6b92-43ac-b7ed-c3eca82b66df",</v>
      </c>
    </row>
    <row r="36" spans="1:1" x14ac:dyDescent="0.25">
      <c r="A36" t="str">
        <f>A4&amp;B4&amp;C4</f>
        <v xml:space="preserve"> "ativo":true,</v>
      </c>
    </row>
    <row r="37" spans="1:1" x14ac:dyDescent="0.25">
      <c r="A37" t="str">
        <f>A5&amp;B5&amp;C5</f>
        <v xml:space="preserve"> "codCampanha":"MOTOEDGE30NEO256GBPRE",</v>
      </c>
    </row>
    <row r="38" spans="1:1" x14ac:dyDescent="0.25">
      <c r="A38" t="str">
        <f>A6&amp;A7&amp;B7&amp;C7&amp;J2&amp;J3&amp;J4&amp;J5&amp;A8&amp;B8&amp;C8&amp;A9&amp;B9&amp;C9&amp;A10&amp;B10&amp;C10&amp;A11&amp;B11&amp;C11&amp;A12&amp;B12&amp;C12&amp;A13&amp;B13&amp;C13&amp;A14&amp;B14&amp;C14&amp;A15&amp;B15&amp;C15&amp;A16&amp;B16&amp;C16&amp;A17</f>
        <v xml:space="preserve"> "defaultMetaData": "{  \"TAG\": \"vitrine_aparelhos:\",  \"TEMPLATE\": \"smartphones\",  \"TITULO\": \"vitrine exclusiva\",  \"TEXTO_1\": \"Promoção Dia das Mães\",  \"TEXTO_2\": \"\",  \"PRECO_DE\": \"2.789,00\", \"PRECO_POR\": \"0\", \"VALOR_PARCELA\": \"0,99\", \"QTD_PARCELA\": \"24\", \"URL_IMG\": \"https://assets.clarobrasil.mobi/ecommerce-config/sales-deck/claro_0_motorola_edge30_neo_preto.png\",  \"SELO_ORELHA\": \"https://assets.clarobrasil.mobi/ecommerce-config/sales-deck/5gmais.png\",  \"SELO_TEMPLATE\": \"\",  \"SELO_TEXTO\": \"\",  \"SELO_BRINDE\": \"\"}",</v>
      </c>
    </row>
    <row r="39" spans="1:1" x14ac:dyDescent="0.25">
      <c r="A39" t="str">
        <f>A18&amp;A19&amp;B19&amp;C19&amp;A20&amp;B20&amp;C20&amp;A21&amp;B21&amp;C21&amp;A22</f>
        <v xml:space="preserve"> "defaultUrlRedirect": "{ \"default\": \"&amp;utm_source=minhaclaro-deckvendas_app\", \"MCLA\": \"&amp;utm_source=minhaclaro-deckvendas_web\", \"MCAP\": \"&amp;utm_source=minhaclaro-deckvendas_app\"}",</v>
      </c>
    </row>
    <row r="40" spans="1:1" x14ac:dyDescent="0.25">
      <c r="A40" t="str">
        <f t="shared" ref="A40:A46" si="0">A23&amp;B23&amp;C23</f>
        <v xml:space="preserve"> "descricao": "Carrossel de Aparelhos - Deck de Vendas",</v>
      </c>
    </row>
    <row r="41" spans="1:1" x14ac:dyDescent="0.25">
      <c r="A41" t="str">
        <f t="shared" si="0"/>
        <v xml:space="preserve"> "segmento":"PRE_PAGO",</v>
      </c>
    </row>
    <row r="42" spans="1:1" x14ac:dyDescent="0.25">
      <c r="A42" t="str">
        <f t="shared" si="0"/>
        <v xml:space="preserve"> "nome": "Moto Edge 30 Neo 256GB",</v>
      </c>
    </row>
    <row r="43" spans="1:1" x14ac:dyDescent="0.25">
      <c r="A43" t="str">
        <f t="shared" si="0"/>
        <v xml:space="preserve"> "prioridade":2,</v>
      </c>
    </row>
    <row r="44" spans="1:1" x14ac:dyDescent="0.25">
      <c r="A44" t="str">
        <f t="shared" si="0"/>
        <v xml:space="preserve"> "textoPrincipal": "",</v>
      </c>
    </row>
    <row r="45" spans="1:1" x14ac:dyDescent="0.25">
      <c r="A45" t="str">
        <f t="shared" si="0"/>
        <v xml:space="preserve"> "textoSecundario": "0",</v>
      </c>
    </row>
    <row r="46" spans="1:1" x14ac:dyDescent="0.25">
      <c r="A46" t="str">
        <f t="shared" si="0"/>
        <v xml:space="preserve"> "tipo": "deck_showcase"</v>
      </c>
    </row>
    <row r="47" spans="1:1" x14ac:dyDescent="0.25">
      <c r="A47" t="str">
        <f>A30</f>
        <v>},</v>
      </c>
    </row>
    <row r="48" spans="1:1" x14ac:dyDescent="0.25">
      <c r="A48" t="str">
        <f>D2</f>
        <v>{</v>
      </c>
    </row>
    <row r="49" spans="1:1" x14ac:dyDescent="0.25">
      <c r="A49" t="str">
        <f>D3&amp;E3&amp;F3</f>
        <v xml:space="preserve"> "idcampanha":"16cf425c-e602-4874-a152-dbacbf0ee0b6",</v>
      </c>
    </row>
    <row r="50" spans="1:1" x14ac:dyDescent="0.25">
      <c r="A50" t="str">
        <f>D4&amp;E4&amp;F4</f>
        <v xml:space="preserve"> "ativo":true,</v>
      </c>
    </row>
    <row r="51" spans="1:1" x14ac:dyDescent="0.25">
      <c r="A51" t="str">
        <f>D5&amp;E5&amp;F5</f>
        <v xml:space="preserve"> "codCampanha":"MOTOEDGE30NEO256GBCTRL",</v>
      </c>
    </row>
    <row r="52" spans="1:1" x14ac:dyDescent="0.25">
      <c r="A52" t="str">
        <f>D6&amp;D7&amp;E7&amp;F7&amp;J2&amp;J3&amp;J4&amp;J5&amp;D8&amp;E8&amp;F8&amp;D9&amp;E9&amp;F9&amp;D10&amp;E10&amp;F10&amp;D11&amp;E11&amp;F11&amp;D12&amp;E12&amp;F12&amp;D13&amp;E13&amp;F13&amp;D14&amp;E14&amp;F14&amp;D15&amp;E15&amp;F15&amp;D16&amp;E16&amp;F16&amp;D17</f>
        <v xml:space="preserve"> "defaultMetaData": "{  \"TAG\": \"vitrine_aparelhos:\",  \"TEMPLATE\": \"smartphones\",  \"TITULO\": \"vitrine exclusiva\",  \"TEXTO_1\": \"Promoção Dia das Mães\",  \"TEXTO_2\": \"\",  \"PRECO_DE\": \"2.789,00\", \"PRECO_POR\": \"0\", \"VALOR_PARCELA\": \"0,99\", \"QTD_PARCELA\": \"12\", \"URL_IMG\": \"https://assets.clarobrasil.mobi/ecommerce-config/sales-deck/claro_0_motorola_edge30_neo_preto.png\",  \"SELO_ORELHA\": \"https://assets.clarobrasil.mobi/ecommerce-config/sales-deck/5gmais.png\",  \"SELO_TEMPLATE\": \"\",  \"SELO_TEXTO\": \"\",  \"SELO_BRINDE\": \"\"}",</v>
      </c>
    </row>
    <row r="53" spans="1:1" x14ac:dyDescent="0.25">
      <c r="A53" t="str">
        <f>D18&amp;D19&amp;E19&amp;F19&amp;D20&amp;E20&amp;F20&amp;D21&amp;E21&amp;F21&amp;D22</f>
        <v xml:space="preserve"> "defaultUrlRedirect": "{ \"default\": \"&amp;utm_source=minhaclaro-deckvendas_app\", \"MCLA\": \"&amp;utm_source=minhaclaro-deckvendas_web\", \"MCAP\": \"&amp;utm_source=minhaclaro-deckvendas_app\"}",</v>
      </c>
    </row>
    <row r="54" spans="1:1" x14ac:dyDescent="0.25">
      <c r="A54" t="str">
        <f t="shared" ref="A54:A60" si="1">D23&amp;E23&amp;F23</f>
        <v xml:space="preserve"> "descricao": "Carrossel de Aparelhos - Deck de Vendas",</v>
      </c>
    </row>
    <row r="55" spans="1:1" x14ac:dyDescent="0.25">
      <c r="A55" t="str">
        <f t="shared" si="1"/>
        <v xml:space="preserve"> "segmento":"CONTROLE,CONTROLE_FACIL",</v>
      </c>
    </row>
    <row r="56" spans="1:1" x14ac:dyDescent="0.25">
      <c r="A56" t="str">
        <f t="shared" si="1"/>
        <v xml:space="preserve"> "nome": "Moto Edge 30 Neo 256GB",</v>
      </c>
    </row>
    <row r="57" spans="1:1" x14ac:dyDescent="0.25">
      <c r="A57" t="str">
        <f t="shared" si="1"/>
        <v xml:space="preserve"> "prioridade":2,</v>
      </c>
    </row>
    <row r="58" spans="1:1" x14ac:dyDescent="0.25">
      <c r="A58" t="str">
        <f t="shared" si="1"/>
        <v xml:space="preserve"> "textoPrincipal": "",</v>
      </c>
    </row>
    <row r="59" spans="1:1" x14ac:dyDescent="0.25">
      <c r="A59" t="str">
        <f t="shared" si="1"/>
        <v xml:space="preserve"> "textoSecundario": "0",</v>
      </c>
    </row>
    <row r="60" spans="1:1" x14ac:dyDescent="0.25">
      <c r="A60" t="str">
        <f t="shared" si="1"/>
        <v xml:space="preserve"> "tipo": "deck_showcase"</v>
      </c>
    </row>
    <row r="61" spans="1:1" x14ac:dyDescent="0.25">
      <c r="A61" t="str">
        <f>D30</f>
        <v>},</v>
      </c>
    </row>
    <row r="62" spans="1:1" x14ac:dyDescent="0.25">
      <c r="A62" t="str">
        <f>G2</f>
        <v>{</v>
      </c>
    </row>
    <row r="63" spans="1:1" x14ac:dyDescent="0.25">
      <c r="A63" t="str">
        <f>G3&amp;H3&amp;I3</f>
        <v xml:space="preserve"> "idcampanha":"076c23bb-d013-4286-aa1d-729d4f85b9ed",</v>
      </c>
    </row>
    <row r="64" spans="1:1" x14ac:dyDescent="0.25">
      <c r="A64" t="str">
        <f>G4&amp;H4&amp;I4</f>
        <v xml:space="preserve"> "ativo":true,</v>
      </c>
    </row>
    <row r="65" spans="1:1" x14ac:dyDescent="0.25">
      <c r="A65" t="str">
        <f>G5&amp;H5&amp;I5</f>
        <v xml:space="preserve"> "codCampanha":"MOTOEDGE30NEO256GBPOS",</v>
      </c>
    </row>
    <row r="66" spans="1:1" x14ac:dyDescent="0.25">
      <c r="A66" t="str">
        <f>G6&amp;G7&amp;H7&amp;I7&amp;J2&amp;J3&amp;J4&amp;J5&amp;G8&amp;H8&amp;I8&amp;G9&amp;H9&amp;I9&amp;G10&amp;H10&amp;I10&amp;G11&amp;H11&amp;I11&amp;G12&amp;H12&amp;I12&amp;G13&amp;H13&amp;I13&amp;G14&amp;H14&amp;I14&amp;G15&amp;H15&amp;I15&amp;G16&amp;H16&amp;I16&amp;G17</f>
        <v xml:space="preserve"> "defaultMetaData": "{  \"TAG\": \"vitrine_aparelhos:\",  \"TEMPLATE\": \"smartphones\",  \"TITULO\": \"vitrine exclusiva\",  \"TEXTO_1\": \"Promoção Dia das Mães\",  \"TEXTO_2\": \"\",  \"PRECO_DE\": \"2.789,00\", \"PRECO_POR\": \"989,00\", \"VALOR_PARCELA\": \"82,99\", \"QTD_PARCELA\": \"12\", \"URL_IMG\": \"https://assets.clarobrasil.mobi/ecommerce-config/sales-deck/claro_0_motorola_edge30_neo_preto.png\",  \"SELO_ORELHA\": \"https://assets.clarobrasil.mobi/ecommerce-config/sales-deck/5gmais.png\",  \"SELO_TEMPLATE\": \"\",  \"SELO_TEXTO\": \"\",  \"SELO_BRINDE\": \"\"}",</v>
      </c>
    </row>
    <row r="67" spans="1:1" x14ac:dyDescent="0.25">
      <c r="A67" t="str">
        <f>G18&amp;G19&amp;H19&amp;I19&amp;G20&amp;H20&amp;I20&amp;G21&amp;H21&amp;I21&amp;G22</f>
        <v xml:space="preserve"> "defaultUrlRedirect": "{ \"default\": \"https://planoscelular.claro.com.br/claroCampaigns/subcampaign?sku=000000000000018368&amp;campaign=CBA&amp;subCampaign=&amp;paymentMethod=debitcard&amp;loyalty=true&amp;invoiceType=DIGITAL&amp;city=&amp;state=&amp;processType=migrate&amp;offerPlanId=22375&amp;smartphone=true&amp;utm_source=minhaclaro-deckvendas_app\", \"MCLA\": \"https://planoscelular.claro.com.br/claroCampaigns/subcampaign?sku=000000000000018368&amp;campaign=CBA&amp;subCampaign=&amp;paymentMethod=debitcard&amp;loyalty=true&amp;invoiceType=DIGITAL&amp;city=&amp;state=&amp;processType=migrate&amp;offerPlanId=22375&amp;smartphone=true&amp;utm_source=minhaclaro-deckvendas_web\", \"MCAP\": \"https://planoscelular.claro.com.br/claroCampaigns/subcampaign?sku=000000000000018368&amp;campaign=CBA&amp;subCampaign=&amp;paymentMethod=debitcard&amp;loyalty=true&amp;invoiceType=DIGITAL&amp;city=&amp;state=&amp;processType=migrate&amp;offerPlanId=22375&amp;smartphone=true&amp;utm_source=minhaclaro-deckvendas_app\"}",</v>
      </c>
    </row>
    <row r="68" spans="1:1" x14ac:dyDescent="0.25">
      <c r="A68" t="str">
        <f t="shared" ref="A68:A74" si="2">G23&amp;H23&amp;I23</f>
        <v xml:space="preserve"> "descricao": "Carrossel de Aparelhos - Deck de Vendas",</v>
      </c>
    </row>
    <row r="69" spans="1:1" x14ac:dyDescent="0.25">
      <c r="A69" t="str">
        <f t="shared" si="2"/>
        <v xml:space="preserve"> "segmento":"POS_PAGO",</v>
      </c>
    </row>
    <row r="70" spans="1:1" x14ac:dyDescent="0.25">
      <c r="A70" t="str">
        <f t="shared" si="2"/>
        <v xml:space="preserve"> "nome": "Moto Edge 30 Neo 256GB",</v>
      </c>
    </row>
    <row r="71" spans="1:1" x14ac:dyDescent="0.25">
      <c r="A71" t="str">
        <f t="shared" si="2"/>
        <v xml:space="preserve"> "prioridade":2,</v>
      </c>
    </row>
    <row r="72" spans="1:1" x14ac:dyDescent="0.25">
      <c r="A72" t="str">
        <f t="shared" si="2"/>
        <v xml:space="preserve"> "textoPrincipal": "",</v>
      </c>
    </row>
    <row r="73" spans="1:1" x14ac:dyDescent="0.25">
      <c r="A73" t="str">
        <f t="shared" si="2"/>
        <v xml:space="preserve"> "textoSecundario": "Pós 400GB",</v>
      </c>
    </row>
    <row r="74" spans="1:1" x14ac:dyDescent="0.25">
      <c r="A74" t="str">
        <f t="shared" si="2"/>
        <v xml:space="preserve"> "tipo": "deck_showcase"</v>
      </c>
    </row>
    <row r="75" spans="1:1" x14ac:dyDescent="0.25">
      <c r="A75" t="str">
        <f>G30</f>
        <v>},</v>
      </c>
    </row>
    <row r="77" spans="1:1" x14ac:dyDescent="0.25">
      <c r="A77" s="33" t="s">
        <v>204</v>
      </c>
    </row>
    <row r="78" spans="1:1" x14ac:dyDescent="0.25">
      <c r="A78" t="s">
        <v>158</v>
      </c>
    </row>
    <row r="79" spans="1:1" x14ac:dyDescent="0.25">
      <c r="A79" t="s">
        <v>205</v>
      </c>
    </row>
    <row r="80" spans="1:1" x14ac:dyDescent="0.25">
      <c r="A80" t="s">
        <v>206</v>
      </c>
    </row>
    <row r="81" spans="1:1" x14ac:dyDescent="0.25">
      <c r="A81" t="s">
        <v>207</v>
      </c>
    </row>
    <row r="82" spans="1:1" x14ac:dyDescent="0.25">
      <c r="A82" t="str">
        <f>A6&amp;J6&amp;J3&amp;J4&amp;J5&amp;A8&amp;C8&amp;A9&amp;C9&amp;A10&amp;C10&amp;A11&amp;C11&amp;J7&amp;A13&amp;C13&amp;A14&amp;C14&amp;A15&amp;C15&amp;A16&amp;C16&amp;A17</f>
        <v xml:space="preserve"> "defaultMetaData": "{  \"TEMPLATE\": \"ver_todos_os_modelos\",  \"TITULO\": \"vitrine exclusiva\",  \"TEXTO_1\": \"Promoção Dia das Mães\",  \"TEXTO_2\": \"\",  \"PRECO_DE\": \"\", \"PRECO_POR\": \"\", \"VALOR_PARCELA\": \"\", \"QTD_PARCELA\": \"\", \"URL_IMG\": \"https://assets.clarobrasil.mobi/ecommerce-config/sales-deck/explore_todos_os_modelos.png\",  \"SELO_ORELHA\": \"\",  \"SELO_TEMPLATE\": \"\",  \"SELO_TEXTO\": \"\",  \"SELO_BRINDE\": \"\"}",</v>
      </c>
    </row>
    <row r="83" spans="1:1" x14ac:dyDescent="0.25">
      <c r="A83" t="s">
        <v>208</v>
      </c>
    </row>
    <row r="84" spans="1:1" x14ac:dyDescent="0.25">
      <c r="A84" t="s">
        <v>209</v>
      </c>
    </row>
    <row r="85" spans="1:1" x14ac:dyDescent="0.25">
      <c r="A85" t="s">
        <v>210</v>
      </c>
    </row>
    <row r="86" spans="1:1" x14ac:dyDescent="0.25">
      <c r="A86" t="s">
        <v>211</v>
      </c>
    </row>
    <row r="87" spans="1:1" x14ac:dyDescent="0.25">
      <c r="A87" t="s">
        <v>212</v>
      </c>
    </row>
    <row r="88" spans="1:1" x14ac:dyDescent="0.25">
      <c r="A88" t="s">
        <v>213</v>
      </c>
    </row>
    <row r="89" spans="1:1" x14ac:dyDescent="0.25">
      <c r="A89" t="s">
        <v>214</v>
      </c>
    </row>
    <row r="90" spans="1:1" x14ac:dyDescent="0.25">
      <c r="A90" t="s">
        <v>215</v>
      </c>
    </row>
    <row r="91" spans="1:1" x14ac:dyDescent="0.25">
      <c r="A91" t="s">
        <v>202</v>
      </c>
    </row>
  </sheetData>
  <mergeCells count="3">
    <mergeCell ref="A1:B1"/>
    <mergeCell ref="D1:E1"/>
    <mergeCell ref="G1:H1"/>
  </mergeCells>
  <hyperlinks>
    <hyperlink ref="B19" r:id="rId1" display="https://planoscelular.claro.com.br/claroCampaigns/subcampaign?sku=000000000000018259&amp;campaign=CBA&amp;subCampaign=S45&amp;paymentMethod=debitcard&amp;loyalty=true&amp;invoiceType=DIGITAL&amp;city=&amp;state=&amp;processType=migrate&amp;offerPlanId=22285&amp;smartphone=true" xr:uid="{3377F5B7-9FB1-4F78-B92A-3D4D3B8B1840}"/>
    <hyperlink ref="B20" r:id="rId2" display="https://planoscelular.claro.com.br/claroCampaigns/subcampaign?sku=000000000000018259&amp;campaign=CBA&amp;subCampaign=S45&amp;paymentMethod=debitcard&amp;loyalty=true&amp;invoiceType=DIGITAL&amp;city=&amp;state=&amp;processType=migrate&amp;offerPlanId=22285&amp;smartphone=true" xr:uid="{50D6042A-5672-4F6C-BEFB-2C8ED9D08679}"/>
    <hyperlink ref="B21" r:id="rId3" display="https://planoscelular.claro.com.br/claroCampaigns/subcampaign?sku=000000000000018259&amp;campaign=CBA&amp;subCampaign=S45&amp;paymentMethod=debitcard&amp;loyalty=true&amp;invoiceType=DIGITAL&amp;city=&amp;state=&amp;processType=migrate&amp;offerPlanId=22285&amp;smartphone=true" xr:uid="{14EB1495-2900-4A1F-994D-59E8EE10C549}"/>
    <hyperlink ref="K1" r:id="rId4" xr:uid="{3391C8FB-5D89-4AE6-8C61-C51B29E021DB}"/>
    <hyperlink ref="L8" r:id="rId5" xr:uid="{48659C21-275B-473F-9EB6-A93024B97529}"/>
  </hyperlink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90BE0-1EC6-4789-83CF-E3B503A781D0}">
  <sheetPr codeName="Planilha2"/>
  <dimension ref="A1:Y46"/>
  <sheetViews>
    <sheetView zoomScaleNormal="100" workbookViewId="0">
      <selection activeCell="C4" sqref="C4:V4"/>
    </sheetView>
  </sheetViews>
  <sheetFormatPr defaultRowHeight="15" x14ac:dyDescent="0.25"/>
  <cols>
    <col min="1" max="1" width="3.85546875" customWidth="1"/>
    <col min="2" max="2" width="11.140625" customWidth="1"/>
    <col min="3" max="3" width="38.5703125" bestFit="1" customWidth="1"/>
    <col min="5" max="5" width="22" customWidth="1"/>
    <col min="6" max="6" width="55.28515625" customWidth="1"/>
    <col min="7" max="7" width="55.140625" customWidth="1"/>
    <col min="8" max="8" width="33" customWidth="1"/>
    <col min="9" max="9" width="28.5703125" customWidth="1"/>
    <col min="10" max="10" width="23.85546875" customWidth="1"/>
    <col min="11" max="11" width="12.7109375" customWidth="1"/>
    <col min="12" max="12" width="9.7109375" customWidth="1"/>
    <col min="13" max="13" width="14" customWidth="1"/>
    <col min="14" max="14" width="12.42578125" customWidth="1"/>
    <col min="15" max="16" width="15.7109375" customWidth="1"/>
    <col min="17" max="17" width="17.5703125" customWidth="1"/>
    <col min="18" max="18" width="16.7109375" customWidth="1"/>
    <col min="19" max="19" width="23.140625" customWidth="1"/>
    <col min="20" max="20" width="19" customWidth="1"/>
    <col min="21" max="21" width="18.140625" customWidth="1"/>
    <col min="22" max="22" width="18.28515625" customWidth="1"/>
  </cols>
  <sheetData>
    <row r="1" spans="1:25" x14ac:dyDescent="0.25">
      <c r="C1" s="69" t="s">
        <v>203</v>
      </c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  <c r="Q1" s="69"/>
      <c r="R1" s="69"/>
      <c r="S1" s="69"/>
      <c r="T1" s="69"/>
      <c r="U1" s="69"/>
      <c r="V1" s="69"/>
    </row>
    <row r="2" spans="1:25" x14ac:dyDescent="0.25">
      <c r="T2" s="70" t="s">
        <v>216</v>
      </c>
      <c r="U2" s="70"/>
      <c r="V2" s="70"/>
    </row>
    <row r="3" spans="1:25" x14ac:dyDescent="0.25">
      <c r="C3" s="17" t="s">
        <v>217</v>
      </c>
      <c r="D3" s="17" t="s">
        <v>218</v>
      </c>
      <c r="E3" s="17" t="s">
        <v>219</v>
      </c>
      <c r="F3" s="17" t="s">
        <v>220</v>
      </c>
      <c r="G3" s="17" t="s">
        <v>221</v>
      </c>
      <c r="H3" s="17" t="s">
        <v>222</v>
      </c>
      <c r="I3" s="17" t="s">
        <v>223</v>
      </c>
      <c r="J3" s="17" t="s">
        <v>224</v>
      </c>
      <c r="K3" s="17" t="s">
        <v>225</v>
      </c>
      <c r="L3" s="17" t="s">
        <v>226</v>
      </c>
      <c r="M3" s="17" t="s">
        <v>8</v>
      </c>
      <c r="N3" s="17" t="s">
        <v>227</v>
      </c>
      <c r="O3" s="17" t="s">
        <v>228</v>
      </c>
      <c r="P3" s="17" t="s">
        <v>229</v>
      </c>
      <c r="Q3" s="17" t="s">
        <v>230</v>
      </c>
      <c r="R3" s="17" t="s">
        <v>231</v>
      </c>
      <c r="S3" s="17" t="s">
        <v>7</v>
      </c>
      <c r="T3" s="17" t="s">
        <v>232</v>
      </c>
      <c r="U3" s="17" t="s">
        <v>233</v>
      </c>
      <c r="V3" s="17" t="s">
        <v>234</v>
      </c>
    </row>
    <row r="4" spans="1:25" x14ac:dyDescent="0.25">
      <c r="B4">
        <v>20</v>
      </c>
      <c r="C4" s="28" t="s">
        <v>327</v>
      </c>
      <c r="D4" s="28" t="s">
        <v>165</v>
      </c>
      <c r="E4" s="28" t="s">
        <v>291</v>
      </c>
      <c r="F4" s="28" t="s">
        <v>237</v>
      </c>
      <c r="G4" s="28" t="s">
        <v>376</v>
      </c>
      <c r="H4" s="28" t="s">
        <v>239</v>
      </c>
      <c r="I4" s="28" t="s">
        <v>240</v>
      </c>
      <c r="J4" s="28" t="s">
        <v>284</v>
      </c>
      <c r="K4" s="28" t="s">
        <v>242</v>
      </c>
      <c r="L4" s="28">
        <v>46</v>
      </c>
      <c r="M4" s="49" t="s">
        <v>285</v>
      </c>
      <c r="N4" s="49" t="s">
        <v>277</v>
      </c>
      <c r="O4" s="28" t="s">
        <v>192</v>
      </c>
      <c r="P4" s="28" t="s">
        <v>286</v>
      </c>
      <c r="Q4" s="28">
        <v>20230502</v>
      </c>
      <c r="R4" s="28">
        <v>20230531</v>
      </c>
      <c r="S4" s="28" t="s">
        <v>377</v>
      </c>
      <c r="T4" s="28" t="s">
        <v>1402</v>
      </c>
      <c r="U4" s="28" t="s">
        <v>1403</v>
      </c>
      <c r="V4" s="28" t="s">
        <v>1402</v>
      </c>
      <c r="W4" t="s">
        <v>247</v>
      </c>
    </row>
    <row r="6" spans="1:25" x14ac:dyDescent="0.25">
      <c r="T6" s="70" t="s">
        <v>216</v>
      </c>
      <c r="U6" s="70"/>
      <c r="V6" s="70"/>
    </row>
    <row r="7" spans="1:25" x14ac:dyDescent="0.25">
      <c r="B7" s="20" t="s">
        <v>248</v>
      </c>
      <c r="C7" s="17" t="s">
        <v>217</v>
      </c>
      <c r="D7" s="17" t="s">
        <v>218</v>
      </c>
      <c r="E7" s="17" t="s">
        <v>219</v>
      </c>
      <c r="F7" s="17" t="s">
        <v>220</v>
      </c>
      <c r="G7" s="17" t="s">
        <v>221</v>
      </c>
      <c r="H7" s="17" t="s">
        <v>222</v>
      </c>
      <c r="I7" s="17" t="s">
        <v>223</v>
      </c>
      <c r="J7" s="17" t="s">
        <v>224</v>
      </c>
      <c r="K7" s="17" t="s">
        <v>225</v>
      </c>
      <c r="L7" s="17" t="s">
        <v>226</v>
      </c>
      <c r="M7" s="17" t="s">
        <v>8</v>
      </c>
      <c r="N7" s="17" t="s">
        <v>227</v>
      </c>
      <c r="O7" s="17" t="s">
        <v>228</v>
      </c>
      <c r="P7" s="17" t="s">
        <v>229</v>
      </c>
      <c r="Q7" s="17" t="s">
        <v>230</v>
      </c>
      <c r="R7" s="17" t="s">
        <v>231</v>
      </c>
      <c r="S7" s="17" t="s">
        <v>7</v>
      </c>
      <c r="T7" s="17" t="s">
        <v>232</v>
      </c>
      <c r="U7" s="17" t="s">
        <v>233</v>
      </c>
      <c r="V7" s="17" t="s">
        <v>234</v>
      </c>
      <c r="Y7" s="12"/>
    </row>
    <row r="8" spans="1:25" x14ac:dyDescent="0.25">
      <c r="B8" s="71" t="s">
        <v>35</v>
      </c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Y8" s="12"/>
    </row>
    <row r="9" spans="1:25" x14ac:dyDescent="0.25">
      <c r="A9" s="28"/>
      <c r="B9" s="28" t="s">
        <v>1113</v>
      </c>
      <c r="C9" s="28" t="s">
        <v>249</v>
      </c>
      <c r="D9" s="28" t="s">
        <v>250</v>
      </c>
      <c r="E9" s="28" t="s">
        <v>251</v>
      </c>
      <c r="F9" s="28" t="s">
        <v>237</v>
      </c>
      <c r="G9" s="28" t="s">
        <v>252</v>
      </c>
      <c r="H9" s="28"/>
      <c r="I9" s="28"/>
      <c r="J9" s="28"/>
      <c r="K9" s="28" t="s">
        <v>242</v>
      </c>
      <c r="L9" s="28">
        <v>30</v>
      </c>
      <c r="M9" s="49" t="s">
        <v>253</v>
      </c>
      <c r="N9" s="49" t="s">
        <v>1131</v>
      </c>
      <c r="O9" s="28" t="s">
        <v>254</v>
      </c>
      <c r="P9" s="28"/>
      <c r="Q9" s="28">
        <v>20230101</v>
      </c>
      <c r="R9" s="28">
        <v>20230131</v>
      </c>
      <c r="S9" s="28" t="s">
        <v>255</v>
      </c>
      <c r="T9" s="5" t="s">
        <v>256</v>
      </c>
      <c r="U9" s="5" t="s">
        <v>257</v>
      </c>
      <c r="V9" s="5" t="s">
        <v>256</v>
      </c>
    </row>
    <row r="10" spans="1:25" x14ac:dyDescent="0.25">
      <c r="A10" s="28"/>
      <c r="B10" s="28" t="s">
        <v>1114</v>
      </c>
      <c r="C10" s="28" t="s">
        <v>258</v>
      </c>
      <c r="D10" s="28" t="s">
        <v>165</v>
      </c>
      <c r="E10" s="55" t="s">
        <v>259</v>
      </c>
      <c r="F10" s="28" t="s">
        <v>237</v>
      </c>
      <c r="G10" s="28" t="s">
        <v>260</v>
      </c>
      <c r="H10" s="28" t="s">
        <v>239</v>
      </c>
      <c r="I10" s="28" t="s">
        <v>240</v>
      </c>
      <c r="J10" s="28" t="s">
        <v>261</v>
      </c>
      <c r="K10" s="28" t="s">
        <v>242</v>
      </c>
      <c r="L10" s="28">
        <v>28</v>
      </c>
      <c r="M10" s="49" t="s">
        <v>262</v>
      </c>
      <c r="N10" s="49" t="s">
        <v>263</v>
      </c>
      <c r="O10" s="28" t="s">
        <v>254</v>
      </c>
      <c r="P10" s="28"/>
      <c r="Q10" s="28">
        <v>20230427</v>
      </c>
      <c r="R10" s="28">
        <v>20230531</v>
      </c>
      <c r="S10" s="28" t="s">
        <v>264</v>
      </c>
      <c r="T10" s="5" t="s">
        <v>265</v>
      </c>
      <c r="U10" s="29" t="s">
        <v>266</v>
      </c>
      <c r="V10" s="5" t="s">
        <v>265</v>
      </c>
    </row>
    <row r="11" spans="1:25" x14ac:dyDescent="0.25">
      <c r="A11" s="28"/>
      <c r="B11" s="28" t="s">
        <v>1113</v>
      </c>
      <c r="C11" s="28" t="s">
        <v>267</v>
      </c>
      <c r="D11" s="28" t="s">
        <v>165</v>
      </c>
      <c r="E11" s="28" t="s">
        <v>268</v>
      </c>
      <c r="F11" s="28" t="s">
        <v>237</v>
      </c>
      <c r="G11" s="28" t="s">
        <v>269</v>
      </c>
      <c r="H11" s="28"/>
      <c r="I11" s="28"/>
      <c r="J11" s="28"/>
      <c r="K11" s="28" t="s">
        <v>242</v>
      </c>
      <c r="L11" s="28">
        <v>26</v>
      </c>
      <c r="M11" s="49" t="s">
        <v>270</v>
      </c>
      <c r="N11" s="49" t="s">
        <v>243</v>
      </c>
      <c r="O11" s="28" t="s">
        <v>254</v>
      </c>
      <c r="P11" s="28"/>
      <c r="Q11" s="28">
        <v>20221003</v>
      </c>
      <c r="R11" s="28">
        <v>20221111</v>
      </c>
      <c r="S11" s="28" t="s">
        <v>271</v>
      </c>
      <c r="T11" s="28" t="s">
        <v>272</v>
      </c>
      <c r="U11" s="28" t="s">
        <v>273</v>
      </c>
      <c r="V11" s="28" t="s">
        <v>272</v>
      </c>
    </row>
    <row r="12" spans="1:25" x14ac:dyDescent="0.25">
      <c r="A12" s="28"/>
      <c r="B12" s="28" t="s">
        <v>1113</v>
      </c>
      <c r="C12" s="28" t="s">
        <v>274</v>
      </c>
      <c r="D12" s="28" t="s">
        <v>165</v>
      </c>
      <c r="E12" s="28" t="s">
        <v>275</v>
      </c>
      <c r="F12" s="28" t="s">
        <v>237</v>
      </c>
      <c r="G12" s="28" t="s">
        <v>276</v>
      </c>
      <c r="H12" s="28"/>
      <c r="I12" s="28"/>
      <c r="J12" s="28"/>
      <c r="K12" s="28" t="s">
        <v>242</v>
      </c>
      <c r="L12" s="28">
        <v>0</v>
      </c>
      <c r="M12" s="49" t="s">
        <v>277</v>
      </c>
      <c r="N12" s="49" t="s">
        <v>277</v>
      </c>
      <c r="O12" s="28" t="s">
        <v>192</v>
      </c>
      <c r="P12" s="28"/>
      <c r="Q12" s="28">
        <v>20221115</v>
      </c>
      <c r="R12" s="28">
        <v>20221231</v>
      </c>
      <c r="S12" s="28" t="s">
        <v>278</v>
      </c>
      <c r="T12" s="28" t="s">
        <v>279</v>
      </c>
      <c r="U12" s="28" t="s">
        <v>280</v>
      </c>
      <c r="V12" s="28" t="s">
        <v>279</v>
      </c>
    </row>
    <row r="13" spans="1:25" x14ac:dyDescent="0.25">
      <c r="A13" s="28"/>
      <c r="B13" s="28" t="s">
        <v>1114</v>
      </c>
      <c r="C13" s="28" t="s">
        <v>281</v>
      </c>
      <c r="D13" s="28" t="s">
        <v>165</v>
      </c>
      <c r="E13" s="55" t="s">
        <v>282</v>
      </c>
      <c r="F13" s="28" t="s">
        <v>237</v>
      </c>
      <c r="G13" s="28" t="s">
        <v>283</v>
      </c>
      <c r="H13" s="28" t="s">
        <v>311</v>
      </c>
      <c r="I13" s="28" t="s">
        <v>240</v>
      </c>
      <c r="J13" s="28" t="s">
        <v>284</v>
      </c>
      <c r="K13" s="28" t="s">
        <v>242</v>
      </c>
      <c r="L13" s="28">
        <v>46</v>
      </c>
      <c r="M13" s="49" t="s">
        <v>285</v>
      </c>
      <c r="N13" s="49" t="s">
        <v>277</v>
      </c>
      <c r="O13" s="28" t="s">
        <v>192</v>
      </c>
      <c r="P13" s="1"/>
      <c r="Q13" s="28">
        <v>20230427</v>
      </c>
      <c r="R13" s="28">
        <v>20230531</v>
      </c>
      <c r="S13" s="28" t="s">
        <v>287</v>
      </c>
      <c r="T13" s="5" t="s">
        <v>288</v>
      </c>
      <c r="U13" s="5" t="s">
        <v>1374</v>
      </c>
      <c r="V13" s="5" t="s">
        <v>288</v>
      </c>
    </row>
    <row r="14" spans="1:25" x14ac:dyDescent="0.25">
      <c r="A14" s="28"/>
      <c r="B14" s="28" t="s">
        <v>1114</v>
      </c>
      <c r="C14" s="28" t="s">
        <v>290</v>
      </c>
      <c r="D14" s="28" t="s">
        <v>165</v>
      </c>
      <c r="E14" s="55" t="s">
        <v>1412</v>
      </c>
      <c r="F14" s="28" t="s">
        <v>237</v>
      </c>
      <c r="G14" s="28" t="s">
        <v>292</v>
      </c>
      <c r="H14" s="28" t="s">
        <v>239</v>
      </c>
      <c r="I14" s="28" t="s">
        <v>240</v>
      </c>
      <c r="J14" s="28" t="s">
        <v>284</v>
      </c>
      <c r="K14" s="28" t="s">
        <v>242</v>
      </c>
      <c r="L14" s="28">
        <v>42</v>
      </c>
      <c r="M14" s="49" t="s">
        <v>243</v>
      </c>
      <c r="N14" s="49" t="s">
        <v>293</v>
      </c>
      <c r="O14" s="28" t="s">
        <v>192</v>
      </c>
      <c r="P14" s="1"/>
      <c r="Q14" s="28">
        <v>20230427</v>
      </c>
      <c r="R14" s="28">
        <v>20230531</v>
      </c>
      <c r="S14" s="28" t="s">
        <v>294</v>
      </c>
      <c r="T14" s="5" t="s">
        <v>295</v>
      </c>
      <c r="U14" s="5" t="s">
        <v>296</v>
      </c>
      <c r="V14" s="5" t="s">
        <v>295</v>
      </c>
    </row>
    <row r="15" spans="1:25" x14ac:dyDescent="0.25">
      <c r="A15" s="28"/>
      <c r="B15" s="28" t="s">
        <v>1113</v>
      </c>
      <c r="C15" s="1" t="s">
        <v>297</v>
      </c>
      <c r="D15" s="1" t="s">
        <v>165</v>
      </c>
      <c r="E15" s="1" t="s">
        <v>298</v>
      </c>
      <c r="F15" s="1" t="s">
        <v>237</v>
      </c>
      <c r="G15" s="1" t="s">
        <v>238</v>
      </c>
      <c r="H15" s="1"/>
      <c r="I15" s="1"/>
      <c r="J15" s="1"/>
      <c r="K15" s="1" t="s">
        <v>242</v>
      </c>
      <c r="L15" s="1">
        <v>17</v>
      </c>
      <c r="M15" s="50" t="s">
        <v>243</v>
      </c>
      <c r="N15" s="50" t="s">
        <v>299</v>
      </c>
      <c r="O15" s="1"/>
      <c r="P15" s="1" t="s">
        <v>286</v>
      </c>
      <c r="Q15" s="1">
        <v>20221115</v>
      </c>
      <c r="R15" s="1">
        <v>20221231</v>
      </c>
      <c r="S15" s="1" t="s">
        <v>244</v>
      </c>
      <c r="T15" s="1" t="s">
        <v>300</v>
      </c>
      <c r="U15" s="1" t="s">
        <v>301</v>
      </c>
      <c r="V15" s="1" t="s">
        <v>300</v>
      </c>
    </row>
    <row r="16" spans="1:25" x14ac:dyDescent="0.25">
      <c r="A16" s="28"/>
      <c r="B16" s="28" t="s">
        <v>1114</v>
      </c>
      <c r="C16" s="47" t="s">
        <v>302</v>
      </c>
      <c r="D16" s="28" t="s">
        <v>165</v>
      </c>
      <c r="E16" s="55" t="s">
        <v>303</v>
      </c>
      <c r="F16" s="28" t="s">
        <v>237</v>
      </c>
      <c r="G16" s="28" t="s">
        <v>304</v>
      </c>
      <c r="H16" s="28" t="s">
        <v>239</v>
      </c>
      <c r="I16" s="28" t="s">
        <v>240</v>
      </c>
      <c r="J16" s="28" t="s">
        <v>241</v>
      </c>
      <c r="K16" s="28" t="s">
        <v>242</v>
      </c>
      <c r="L16" s="28">
        <v>17</v>
      </c>
      <c r="M16" s="49" t="s">
        <v>243</v>
      </c>
      <c r="N16" s="49" t="s">
        <v>299</v>
      </c>
      <c r="O16" s="28" t="s">
        <v>192</v>
      </c>
      <c r="P16" s="28"/>
      <c r="Q16" s="28">
        <v>20230427</v>
      </c>
      <c r="R16" s="28">
        <v>20230531</v>
      </c>
      <c r="S16" s="28" t="s">
        <v>305</v>
      </c>
      <c r="T16" s="5" t="s">
        <v>306</v>
      </c>
      <c r="U16" s="5" t="s">
        <v>307</v>
      </c>
      <c r="V16" s="5" t="s">
        <v>306</v>
      </c>
    </row>
    <row r="17" spans="1:22" x14ac:dyDescent="0.25">
      <c r="A17" s="28" t="s">
        <v>960</v>
      </c>
      <c r="B17" s="28" t="s">
        <v>1113</v>
      </c>
      <c r="C17" s="28" t="s">
        <v>308</v>
      </c>
      <c r="D17" s="28" t="s">
        <v>250</v>
      </c>
      <c r="E17" s="55" t="s">
        <v>309</v>
      </c>
      <c r="F17" s="28" t="s">
        <v>237</v>
      </c>
      <c r="G17" s="28" t="s">
        <v>310</v>
      </c>
      <c r="H17" s="28" t="s">
        <v>311</v>
      </c>
      <c r="I17" s="28" t="s">
        <v>240</v>
      </c>
      <c r="J17" s="28" t="s">
        <v>284</v>
      </c>
      <c r="K17" s="28" t="s">
        <v>242</v>
      </c>
      <c r="L17" s="28">
        <v>0</v>
      </c>
      <c r="M17" s="49" t="s">
        <v>277</v>
      </c>
      <c r="N17" s="49" t="s">
        <v>277</v>
      </c>
      <c r="O17" s="28" t="s">
        <v>192</v>
      </c>
      <c r="P17" s="28"/>
      <c r="Q17" s="28">
        <v>20230427</v>
      </c>
      <c r="R17" s="28">
        <v>20230531</v>
      </c>
      <c r="S17" s="28" t="s">
        <v>312</v>
      </c>
      <c r="T17" s="5" t="s">
        <v>313</v>
      </c>
      <c r="U17" s="5" t="s">
        <v>314</v>
      </c>
      <c r="V17" s="5" t="s">
        <v>313</v>
      </c>
    </row>
    <row r="18" spans="1:22" x14ac:dyDescent="0.25">
      <c r="A18" s="28"/>
      <c r="B18" s="28" t="s">
        <v>1113</v>
      </c>
      <c r="C18" s="28" t="s">
        <v>315</v>
      </c>
      <c r="D18" s="28" t="s">
        <v>165</v>
      </c>
      <c r="E18" s="28" t="s">
        <v>316</v>
      </c>
      <c r="F18" s="28" t="s">
        <v>237</v>
      </c>
      <c r="G18" s="28" t="s">
        <v>317</v>
      </c>
      <c r="H18" s="28"/>
      <c r="I18" s="28"/>
      <c r="J18" s="28"/>
      <c r="K18" s="28" t="s">
        <v>242</v>
      </c>
      <c r="L18" s="28">
        <v>31</v>
      </c>
      <c r="M18" s="49" t="s">
        <v>299</v>
      </c>
      <c r="N18" s="49" t="s">
        <v>293</v>
      </c>
      <c r="O18" s="28" t="s">
        <v>192</v>
      </c>
      <c r="P18" s="28"/>
      <c r="Q18" s="28">
        <v>20221112</v>
      </c>
      <c r="R18" s="28">
        <v>20221231</v>
      </c>
      <c r="S18" s="28" t="s">
        <v>318</v>
      </c>
      <c r="T18" s="5" t="s">
        <v>319</v>
      </c>
      <c r="U18" s="28" t="s">
        <v>320</v>
      </c>
      <c r="V18" s="28" t="s">
        <v>319</v>
      </c>
    </row>
    <row r="19" spans="1:22" x14ac:dyDescent="0.25">
      <c r="A19" s="28"/>
      <c r="B19" s="28" t="s">
        <v>1113</v>
      </c>
      <c r="C19" s="28" t="s">
        <v>321</v>
      </c>
      <c r="D19" s="28" t="s">
        <v>165</v>
      </c>
      <c r="E19" s="28" t="s">
        <v>322</v>
      </c>
      <c r="F19" s="28" t="s">
        <v>237</v>
      </c>
      <c r="G19" s="28" t="s">
        <v>323</v>
      </c>
      <c r="H19" s="28"/>
      <c r="I19" s="28"/>
      <c r="J19" s="28"/>
      <c r="K19" s="28" t="s">
        <v>242</v>
      </c>
      <c r="L19" s="28"/>
      <c r="M19" s="49"/>
      <c r="N19" s="49"/>
      <c r="O19" s="28"/>
      <c r="P19" s="28" t="s">
        <v>286</v>
      </c>
      <c r="Q19" s="28">
        <v>20220501</v>
      </c>
      <c r="R19" s="28">
        <v>20220731</v>
      </c>
      <c r="S19" s="28" t="s">
        <v>324</v>
      </c>
      <c r="T19" s="28" t="s">
        <v>325</v>
      </c>
      <c r="U19" s="28" t="s">
        <v>326</v>
      </c>
      <c r="V19" s="28" t="s">
        <v>325</v>
      </c>
    </row>
    <row r="20" spans="1:22" x14ac:dyDescent="0.25">
      <c r="A20" s="28" t="s">
        <v>960</v>
      </c>
      <c r="B20" s="28" t="s">
        <v>1114</v>
      </c>
      <c r="C20" s="28" t="s">
        <v>327</v>
      </c>
      <c r="D20" s="28" t="s">
        <v>165</v>
      </c>
      <c r="E20" s="28" t="s">
        <v>291</v>
      </c>
      <c r="F20" s="28" t="s">
        <v>237</v>
      </c>
      <c r="G20" s="28" t="s">
        <v>376</v>
      </c>
      <c r="H20" s="28" t="s">
        <v>239</v>
      </c>
      <c r="I20" s="28" t="s">
        <v>240</v>
      </c>
      <c r="J20" s="28" t="s">
        <v>284</v>
      </c>
      <c r="K20" s="28" t="s">
        <v>242</v>
      </c>
      <c r="L20" s="28">
        <v>46</v>
      </c>
      <c r="M20" s="49" t="s">
        <v>285</v>
      </c>
      <c r="N20" s="49" t="s">
        <v>277</v>
      </c>
      <c r="O20" s="28" t="s">
        <v>192</v>
      </c>
      <c r="P20" s="28" t="s">
        <v>286</v>
      </c>
      <c r="Q20" s="28">
        <v>20230502</v>
      </c>
      <c r="R20" s="28">
        <v>20230531</v>
      </c>
      <c r="S20" s="28" t="s">
        <v>377</v>
      </c>
      <c r="T20" s="28" t="s">
        <v>1402</v>
      </c>
      <c r="U20" s="28" t="s">
        <v>1403</v>
      </c>
      <c r="V20" s="28" t="s">
        <v>1402</v>
      </c>
    </row>
    <row r="21" spans="1:22" x14ac:dyDescent="0.25">
      <c r="A21" s="28"/>
      <c r="B21" s="28" t="s">
        <v>1113</v>
      </c>
      <c r="C21" s="1" t="s">
        <v>235</v>
      </c>
      <c r="D21" s="1" t="s">
        <v>165</v>
      </c>
      <c r="E21" s="1" t="s">
        <v>236</v>
      </c>
      <c r="F21" s="1" t="s">
        <v>237</v>
      </c>
      <c r="G21" s="1" t="s">
        <v>238</v>
      </c>
      <c r="H21" s="1" t="s">
        <v>239</v>
      </c>
      <c r="I21" s="1" t="s">
        <v>240</v>
      </c>
      <c r="J21" s="1" t="s">
        <v>241</v>
      </c>
      <c r="K21" s="1" t="s">
        <v>242</v>
      </c>
      <c r="L21" s="1">
        <v>0</v>
      </c>
      <c r="M21" s="50" t="s">
        <v>243</v>
      </c>
      <c r="N21" s="50" t="s">
        <v>243</v>
      </c>
      <c r="O21" s="1" t="s">
        <v>192</v>
      </c>
      <c r="P21" s="1"/>
      <c r="Q21" s="1">
        <v>20230314</v>
      </c>
      <c r="R21" s="1">
        <v>20230330</v>
      </c>
      <c r="S21" s="1" t="s">
        <v>244</v>
      </c>
      <c r="T21" s="5" t="s">
        <v>245</v>
      </c>
      <c r="U21" s="5" t="s">
        <v>246</v>
      </c>
      <c r="V21" s="5" t="s">
        <v>245</v>
      </c>
    </row>
    <row r="22" spans="1:22" x14ac:dyDescent="0.25">
      <c r="A22" s="28"/>
      <c r="B22" s="28" t="s">
        <v>1114</v>
      </c>
      <c r="C22" s="28" t="s">
        <v>330</v>
      </c>
      <c r="D22" s="28" t="s">
        <v>165</v>
      </c>
      <c r="E22" s="55" t="s">
        <v>331</v>
      </c>
      <c r="F22" s="28" t="s">
        <v>237</v>
      </c>
      <c r="G22" s="28" t="s">
        <v>332</v>
      </c>
      <c r="H22" s="28" t="s">
        <v>239</v>
      </c>
      <c r="I22" s="28" t="s">
        <v>240</v>
      </c>
      <c r="J22" s="28" t="s">
        <v>241</v>
      </c>
      <c r="K22" s="28" t="s">
        <v>242</v>
      </c>
      <c r="L22" s="28">
        <v>21</v>
      </c>
      <c r="M22" s="49" t="s">
        <v>333</v>
      </c>
      <c r="N22" s="49" t="s">
        <v>243</v>
      </c>
      <c r="O22" s="28" t="s">
        <v>192</v>
      </c>
      <c r="P22" s="28"/>
      <c r="Q22" s="28">
        <v>20230427</v>
      </c>
      <c r="R22" s="28">
        <v>20230531</v>
      </c>
      <c r="S22" s="28" t="s">
        <v>271</v>
      </c>
      <c r="T22" s="5" t="s">
        <v>247</v>
      </c>
      <c r="U22" s="5" t="s">
        <v>334</v>
      </c>
      <c r="V22" s="5" t="s">
        <v>247</v>
      </c>
    </row>
    <row r="23" spans="1:22" x14ac:dyDescent="0.25">
      <c r="A23" s="28"/>
      <c r="B23" s="28" t="s">
        <v>1114</v>
      </c>
      <c r="C23" s="28" t="s">
        <v>335</v>
      </c>
      <c r="D23" s="28" t="s">
        <v>165</v>
      </c>
      <c r="E23" s="28" t="s">
        <v>336</v>
      </c>
      <c r="F23" s="28" t="s">
        <v>337</v>
      </c>
      <c r="G23" s="28" t="s">
        <v>338</v>
      </c>
      <c r="H23" s="28" t="s">
        <v>239</v>
      </c>
      <c r="I23" s="28" t="s">
        <v>339</v>
      </c>
      <c r="J23" s="28" t="s">
        <v>340</v>
      </c>
      <c r="K23" s="28" t="s">
        <v>242</v>
      </c>
      <c r="L23" s="28">
        <v>13</v>
      </c>
      <c r="M23" s="49" t="s">
        <v>270</v>
      </c>
      <c r="N23" s="49" t="s">
        <v>341</v>
      </c>
      <c r="O23" s="28" t="s">
        <v>192</v>
      </c>
      <c r="P23" s="28"/>
      <c r="Q23" s="28">
        <v>20230427</v>
      </c>
      <c r="R23" s="28">
        <v>20230531</v>
      </c>
      <c r="S23" s="28" t="s">
        <v>342</v>
      </c>
      <c r="T23" s="5" t="s">
        <v>343</v>
      </c>
      <c r="U23" s="28" t="s">
        <v>343</v>
      </c>
      <c r="V23" s="28" t="s">
        <v>343</v>
      </c>
    </row>
    <row r="24" spans="1:22" x14ac:dyDescent="0.25">
      <c r="A24" s="28"/>
      <c r="B24" s="28" t="s">
        <v>1114</v>
      </c>
      <c r="C24" s="28" t="s">
        <v>344</v>
      </c>
      <c r="D24" s="28" t="s">
        <v>165</v>
      </c>
      <c r="E24" s="28" t="s">
        <v>345</v>
      </c>
      <c r="F24" s="28" t="s">
        <v>337</v>
      </c>
      <c r="G24" s="28" t="s">
        <v>346</v>
      </c>
      <c r="H24" s="28" t="s">
        <v>239</v>
      </c>
      <c r="I24" s="28" t="s">
        <v>347</v>
      </c>
      <c r="J24" s="28" t="s">
        <v>348</v>
      </c>
      <c r="K24" s="28" t="s">
        <v>242</v>
      </c>
      <c r="L24" s="28">
        <v>11</v>
      </c>
      <c r="M24" s="49" t="s">
        <v>262</v>
      </c>
      <c r="N24" s="49" t="s">
        <v>349</v>
      </c>
      <c r="O24" s="28" t="s">
        <v>254</v>
      </c>
      <c r="P24" s="28"/>
      <c r="Q24" s="28">
        <v>20230427</v>
      </c>
      <c r="R24" s="28">
        <v>20230531</v>
      </c>
      <c r="S24" s="28" t="s">
        <v>350</v>
      </c>
      <c r="T24" s="45" t="s">
        <v>351</v>
      </c>
      <c r="U24" s="28" t="s">
        <v>351</v>
      </c>
      <c r="V24" s="28" t="s">
        <v>351</v>
      </c>
    </row>
    <row r="25" spans="1:22" x14ac:dyDescent="0.25">
      <c r="A25" s="28"/>
      <c r="B25" s="28" t="s">
        <v>1114</v>
      </c>
      <c r="C25" s="28" t="s">
        <v>352</v>
      </c>
      <c r="D25" s="28" t="s">
        <v>165</v>
      </c>
      <c r="E25" s="28" t="s">
        <v>353</v>
      </c>
      <c r="F25" s="28" t="s">
        <v>337</v>
      </c>
      <c r="G25" s="28" t="s">
        <v>354</v>
      </c>
      <c r="H25" s="28" t="s">
        <v>239</v>
      </c>
      <c r="I25" s="28" t="s">
        <v>347</v>
      </c>
      <c r="J25" s="28" t="s">
        <v>355</v>
      </c>
      <c r="K25" s="28" t="s">
        <v>242</v>
      </c>
      <c r="L25" s="28">
        <v>29</v>
      </c>
      <c r="M25" s="49" t="s">
        <v>356</v>
      </c>
      <c r="N25" s="49" t="s">
        <v>262</v>
      </c>
      <c r="O25" s="28" t="s">
        <v>194</v>
      </c>
      <c r="P25" s="28"/>
      <c r="Q25" s="28">
        <v>20230427</v>
      </c>
      <c r="R25" s="28">
        <v>20230531</v>
      </c>
      <c r="S25" s="28" t="s">
        <v>357</v>
      </c>
      <c r="T25" s="5" t="s">
        <v>1115</v>
      </c>
      <c r="U25" s="28" t="s">
        <v>1115</v>
      </c>
      <c r="V25" s="28" t="s">
        <v>1115</v>
      </c>
    </row>
    <row r="26" spans="1:22" x14ac:dyDescent="0.25">
      <c r="A26" s="28"/>
      <c r="B26" s="28" t="s">
        <v>1114</v>
      </c>
      <c r="C26" s="28" t="s">
        <v>942</v>
      </c>
      <c r="D26" s="28" t="s">
        <v>165</v>
      </c>
      <c r="E26" s="28" t="s">
        <v>943</v>
      </c>
      <c r="F26" s="28" t="s">
        <v>237</v>
      </c>
      <c r="G26" s="28" t="s">
        <v>944</v>
      </c>
      <c r="H26" s="28" t="s">
        <v>239</v>
      </c>
      <c r="I26" s="28" t="s">
        <v>240</v>
      </c>
      <c r="J26" s="28" t="s">
        <v>261</v>
      </c>
      <c r="K26" s="28" t="s">
        <v>242</v>
      </c>
      <c r="L26" s="28">
        <v>29</v>
      </c>
      <c r="M26" s="49" t="s">
        <v>1072</v>
      </c>
      <c r="N26" s="49" t="s">
        <v>243</v>
      </c>
      <c r="O26" s="28"/>
      <c r="P26" s="28" t="s">
        <v>286</v>
      </c>
      <c r="Q26" s="28">
        <v>20230427</v>
      </c>
      <c r="R26" s="28">
        <v>20230531</v>
      </c>
      <c r="S26" s="28" t="s">
        <v>945</v>
      </c>
      <c r="T26" s="5" t="s">
        <v>946</v>
      </c>
      <c r="U26" s="5" t="s">
        <v>947</v>
      </c>
      <c r="V26" s="5" t="s">
        <v>946</v>
      </c>
    </row>
    <row r="27" spans="1:22" x14ac:dyDescent="0.25">
      <c r="A27" s="28"/>
      <c r="B27" s="28" t="s">
        <v>1113</v>
      </c>
      <c r="C27" s="28" t="s">
        <v>948</v>
      </c>
      <c r="D27" s="28" t="s">
        <v>165</v>
      </c>
      <c r="E27" s="28" t="s">
        <v>1413</v>
      </c>
      <c r="F27" s="28" t="s">
        <v>237</v>
      </c>
      <c r="G27" s="28" t="s">
        <v>949</v>
      </c>
      <c r="H27" s="28" t="s">
        <v>239</v>
      </c>
      <c r="I27" s="28" t="s">
        <v>240</v>
      </c>
      <c r="J27" s="28" t="s">
        <v>261</v>
      </c>
      <c r="K27" s="28" t="s">
        <v>242</v>
      </c>
      <c r="L27" s="28">
        <v>38</v>
      </c>
      <c r="M27" s="49" t="s">
        <v>1073</v>
      </c>
      <c r="N27" s="49" t="s">
        <v>1074</v>
      </c>
      <c r="O27" s="28"/>
      <c r="P27" s="28" t="s">
        <v>286</v>
      </c>
      <c r="Q27" s="28">
        <v>20230508</v>
      </c>
      <c r="R27" s="28">
        <v>20230531</v>
      </c>
      <c r="S27" s="28" t="s">
        <v>950</v>
      </c>
      <c r="T27" s="5" t="s">
        <v>1414</v>
      </c>
      <c r="U27" s="5" t="s">
        <v>1415</v>
      </c>
      <c r="V27" s="5" t="s">
        <v>1414</v>
      </c>
    </row>
    <row r="28" spans="1:22" x14ac:dyDescent="0.25">
      <c r="A28" s="28"/>
      <c r="B28" s="28" t="s">
        <v>1113</v>
      </c>
      <c r="C28" s="28" t="s">
        <v>1116</v>
      </c>
      <c r="D28" s="28" t="s">
        <v>165</v>
      </c>
      <c r="E28" s="28"/>
      <c r="F28" s="28" t="s">
        <v>1129</v>
      </c>
      <c r="G28" s="28" t="s">
        <v>1117</v>
      </c>
      <c r="H28" s="28" t="s">
        <v>1118</v>
      </c>
      <c r="I28" s="28"/>
      <c r="J28" s="28"/>
      <c r="K28" s="28" t="s">
        <v>371</v>
      </c>
      <c r="L28" s="28">
        <v>69</v>
      </c>
      <c r="M28" s="49" t="s">
        <v>1083</v>
      </c>
      <c r="N28" s="49" t="s">
        <v>52</v>
      </c>
      <c r="O28" s="28" t="s">
        <v>1119</v>
      </c>
      <c r="P28" s="28" t="s">
        <v>286</v>
      </c>
      <c r="Q28" s="28">
        <v>20230403</v>
      </c>
      <c r="R28" s="28"/>
      <c r="S28" s="28" t="s">
        <v>1120</v>
      </c>
      <c r="T28" s="28" t="s">
        <v>1121</v>
      </c>
      <c r="U28" s="28" t="s">
        <v>1122</v>
      </c>
      <c r="V28" s="28" t="s">
        <v>1121</v>
      </c>
    </row>
    <row r="29" spans="1:22" x14ac:dyDescent="0.25">
      <c r="A29" s="28"/>
      <c r="B29" s="28" t="s">
        <v>1113</v>
      </c>
      <c r="C29" s="28" t="s">
        <v>1123</v>
      </c>
      <c r="D29" s="28" t="s">
        <v>165</v>
      </c>
      <c r="E29" s="28"/>
      <c r="F29" s="28" t="s">
        <v>1129</v>
      </c>
      <c r="G29" s="28" t="s">
        <v>1124</v>
      </c>
      <c r="H29" s="28" t="s">
        <v>1118</v>
      </c>
      <c r="I29" s="28"/>
      <c r="J29" s="28"/>
      <c r="K29" s="28" t="s">
        <v>371</v>
      </c>
      <c r="L29" s="28">
        <v>35</v>
      </c>
      <c r="M29" s="49" t="s">
        <v>59</v>
      </c>
      <c r="N29" s="49" t="s">
        <v>485</v>
      </c>
      <c r="O29" s="28" t="s">
        <v>1119</v>
      </c>
      <c r="P29" s="28" t="s">
        <v>286</v>
      </c>
      <c r="Q29" s="28">
        <v>20230403</v>
      </c>
      <c r="R29" s="28"/>
      <c r="S29" s="28" t="s">
        <v>1125</v>
      </c>
      <c r="T29" s="5" t="s">
        <v>1126</v>
      </c>
      <c r="U29" s="28" t="s">
        <v>1127</v>
      </c>
      <c r="V29" s="28" t="s">
        <v>1126</v>
      </c>
    </row>
    <row r="30" spans="1:22" x14ac:dyDescent="0.25">
      <c r="A30" s="28"/>
      <c r="B30" s="28" t="s">
        <v>1114</v>
      </c>
      <c r="C30" s="47" t="s">
        <v>1128</v>
      </c>
      <c r="D30" s="28" t="s">
        <v>165</v>
      </c>
      <c r="E30" s="28"/>
      <c r="F30" s="28"/>
      <c r="G30" s="28"/>
      <c r="H30" s="28"/>
      <c r="I30" s="28"/>
      <c r="J30" s="28"/>
      <c r="K30" s="28"/>
      <c r="L30" s="28"/>
      <c r="M30" s="49"/>
      <c r="N30" s="49"/>
      <c r="O30" s="48"/>
      <c r="P30" s="28"/>
      <c r="Q30" s="28"/>
      <c r="R30" s="28"/>
      <c r="S30" s="28"/>
      <c r="T30" s="28"/>
      <c r="U30" s="28"/>
      <c r="V30" s="28"/>
    </row>
    <row r="31" spans="1:22" x14ac:dyDescent="0.25">
      <c r="L31" s="30"/>
      <c r="M31" s="11"/>
      <c r="N31" s="11"/>
      <c r="T31" s="5"/>
    </row>
    <row r="32" spans="1:22" x14ac:dyDescent="0.25">
      <c r="B32" s="71" t="s">
        <v>81</v>
      </c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</row>
    <row r="33" spans="1:22" x14ac:dyDescent="0.25">
      <c r="B33" t="str">
        <f t="shared" ref="B33:B45" si="0">IF(D33="true",IF(R33&gt;20230208,"ON-LINE","OFF-LINE"),"OFF-LINE")</f>
        <v>ON-LINE</v>
      </c>
      <c r="C33" t="s">
        <v>258</v>
      </c>
      <c r="D33" t="s">
        <v>165</v>
      </c>
      <c r="E33" t="s">
        <v>358</v>
      </c>
      <c r="F33" t="s">
        <v>359</v>
      </c>
      <c r="G33" t="s">
        <v>360</v>
      </c>
      <c r="H33" t="s">
        <v>239</v>
      </c>
      <c r="I33" t="s">
        <v>361</v>
      </c>
      <c r="J33" t="s">
        <v>362</v>
      </c>
      <c r="K33" t="s">
        <v>242</v>
      </c>
      <c r="L33" s="30">
        <f t="shared" ref="L33:L37" si="1">TRUNC((1-(N33/M33))*100,0)</f>
        <v>0</v>
      </c>
      <c r="M33" s="11" t="s">
        <v>363</v>
      </c>
      <c r="N33" s="11" t="s">
        <v>363</v>
      </c>
      <c r="Q33">
        <v>20221003</v>
      </c>
      <c r="R33">
        <v>20231110</v>
      </c>
      <c r="S33" t="s">
        <v>244</v>
      </c>
      <c r="T33" s="5" t="s">
        <v>364</v>
      </c>
      <c r="U33" s="5" t="s">
        <v>365</v>
      </c>
      <c r="V33" s="5" t="s">
        <v>364</v>
      </c>
    </row>
    <row r="34" spans="1:22" x14ac:dyDescent="0.25">
      <c r="B34" t="str">
        <f t="shared" si="0"/>
        <v>OFF-LINE</v>
      </c>
      <c r="C34" t="s">
        <v>274</v>
      </c>
      <c r="D34" t="s">
        <v>250</v>
      </c>
      <c r="E34" t="s">
        <v>366</v>
      </c>
      <c r="F34" t="s">
        <v>367</v>
      </c>
      <c r="G34" t="s">
        <v>368</v>
      </c>
      <c r="H34" t="s">
        <v>369</v>
      </c>
      <c r="J34" t="s">
        <v>370</v>
      </c>
      <c r="K34" t="s">
        <v>371</v>
      </c>
      <c r="L34" s="30">
        <f t="shared" si="1"/>
        <v>25</v>
      </c>
      <c r="M34" s="11" t="s">
        <v>372</v>
      </c>
      <c r="N34" s="11" t="s">
        <v>373</v>
      </c>
      <c r="Q34">
        <v>20220729</v>
      </c>
      <c r="R34">
        <v>20231110</v>
      </c>
      <c r="S34" t="s">
        <v>374</v>
      </c>
      <c r="T34" t="s">
        <v>288</v>
      </c>
      <c r="U34" t="s">
        <v>289</v>
      </c>
      <c r="V34" t="s">
        <v>288</v>
      </c>
    </row>
    <row r="35" spans="1:22" x14ac:dyDescent="0.25">
      <c r="B35" t="str">
        <f t="shared" si="0"/>
        <v>OFF-LINE</v>
      </c>
      <c r="C35" t="s">
        <v>281</v>
      </c>
      <c r="D35" t="s">
        <v>250</v>
      </c>
      <c r="E35" t="s">
        <v>375</v>
      </c>
      <c r="F35" t="s">
        <v>237</v>
      </c>
      <c r="G35" t="s">
        <v>376</v>
      </c>
      <c r="K35" t="s">
        <v>242</v>
      </c>
      <c r="L35" s="30">
        <f t="shared" si="1"/>
        <v>36</v>
      </c>
      <c r="M35" s="11" t="s">
        <v>285</v>
      </c>
      <c r="N35" s="11" t="s">
        <v>293</v>
      </c>
      <c r="Q35">
        <v>20221003</v>
      </c>
      <c r="R35">
        <v>20231110</v>
      </c>
      <c r="S35" t="s">
        <v>377</v>
      </c>
      <c r="T35" t="s">
        <v>378</v>
      </c>
      <c r="U35" t="s">
        <v>379</v>
      </c>
      <c r="V35" t="s">
        <v>378</v>
      </c>
    </row>
    <row r="36" spans="1:22" x14ac:dyDescent="0.25">
      <c r="B36" t="str">
        <f t="shared" si="0"/>
        <v>OFF-LINE</v>
      </c>
      <c r="C36" t="s">
        <v>290</v>
      </c>
      <c r="D36" t="s">
        <v>165</v>
      </c>
      <c r="E36" t="s">
        <v>291</v>
      </c>
      <c r="F36" t="s">
        <v>380</v>
      </c>
      <c r="G36" t="s">
        <v>292</v>
      </c>
      <c r="L36" s="30">
        <f t="shared" si="1"/>
        <v>36</v>
      </c>
      <c r="M36" s="11" t="s">
        <v>285</v>
      </c>
      <c r="N36" s="11" t="s">
        <v>293</v>
      </c>
      <c r="P36" t="s">
        <v>286</v>
      </c>
      <c r="Q36">
        <v>20220913</v>
      </c>
      <c r="R36">
        <v>20221031</v>
      </c>
      <c r="S36" t="s">
        <v>294</v>
      </c>
      <c r="T36" t="s">
        <v>295</v>
      </c>
      <c r="U36" t="s">
        <v>296</v>
      </c>
      <c r="V36" t="s">
        <v>295</v>
      </c>
    </row>
    <row r="37" spans="1:22" x14ac:dyDescent="0.25">
      <c r="B37" t="str">
        <f t="shared" si="0"/>
        <v>OFF-LINE</v>
      </c>
      <c r="C37" t="s">
        <v>297</v>
      </c>
      <c r="D37" t="s">
        <v>165</v>
      </c>
      <c r="E37" t="s">
        <v>331</v>
      </c>
      <c r="F37" t="s">
        <v>381</v>
      </c>
      <c r="G37" t="s">
        <v>382</v>
      </c>
      <c r="L37" s="30">
        <f t="shared" si="1"/>
        <v>25</v>
      </c>
      <c r="M37" s="11" t="s">
        <v>270</v>
      </c>
      <c r="N37" s="11" t="s">
        <v>243</v>
      </c>
      <c r="P37" t="s">
        <v>286</v>
      </c>
      <c r="Q37">
        <v>20220913</v>
      </c>
      <c r="R37">
        <v>20221109</v>
      </c>
      <c r="S37" t="s">
        <v>383</v>
      </c>
      <c r="T37" t="s">
        <v>247</v>
      </c>
      <c r="U37" t="s">
        <v>334</v>
      </c>
      <c r="V37" t="s">
        <v>247</v>
      </c>
    </row>
    <row r="38" spans="1:22" x14ac:dyDescent="0.25">
      <c r="A38" s="22"/>
      <c r="B38" t="str">
        <f t="shared" si="0"/>
        <v>ON-LINE</v>
      </c>
      <c r="C38" s="22" t="s">
        <v>1312</v>
      </c>
      <c r="D38" s="22" t="s">
        <v>165</v>
      </c>
      <c r="E38" s="22" t="s">
        <v>1308</v>
      </c>
      <c r="F38" s="63" t="s">
        <v>237</v>
      </c>
      <c r="G38" s="63" t="s">
        <v>944</v>
      </c>
      <c r="H38" s="63" t="s">
        <v>239</v>
      </c>
      <c r="I38" s="63" t="s">
        <v>240</v>
      </c>
      <c r="J38" s="63" t="s">
        <v>261</v>
      </c>
      <c r="K38" s="63" t="s">
        <v>242</v>
      </c>
      <c r="L38" s="63">
        <v>29</v>
      </c>
      <c r="M38" s="64" t="s">
        <v>1072</v>
      </c>
      <c r="N38" s="64" t="s">
        <v>243</v>
      </c>
      <c r="O38" s="63"/>
      <c r="P38" s="63" t="s">
        <v>286</v>
      </c>
      <c r="Q38" s="63">
        <v>20230403</v>
      </c>
      <c r="R38" s="63">
        <v>20230428</v>
      </c>
      <c r="S38" s="63" t="s">
        <v>945</v>
      </c>
      <c r="T38" s="5" t="s">
        <v>946</v>
      </c>
      <c r="U38" s="5" t="s">
        <v>947</v>
      </c>
      <c r="V38" s="5" t="s">
        <v>946</v>
      </c>
    </row>
    <row r="39" spans="1:22" x14ac:dyDescent="0.25">
      <c r="A39" s="22"/>
      <c r="B39" t="str">
        <f t="shared" si="0"/>
        <v>ON-LINE</v>
      </c>
      <c r="C39" s="22" t="s">
        <v>1313</v>
      </c>
      <c r="D39" s="22" t="s">
        <v>165</v>
      </c>
      <c r="E39" s="22" t="s">
        <v>1309</v>
      </c>
      <c r="F39" s="63" t="s">
        <v>237</v>
      </c>
      <c r="G39" s="63" t="s">
        <v>949</v>
      </c>
      <c r="H39" s="63" t="s">
        <v>239</v>
      </c>
      <c r="I39" s="63" t="s">
        <v>240</v>
      </c>
      <c r="J39" s="63" t="s">
        <v>261</v>
      </c>
      <c r="K39" s="63" t="s">
        <v>242</v>
      </c>
      <c r="L39" s="63">
        <v>38</v>
      </c>
      <c r="M39" s="64" t="s">
        <v>1073</v>
      </c>
      <c r="N39" s="64">
        <v>130.63</v>
      </c>
      <c r="O39" s="63"/>
      <c r="P39" s="63" t="s">
        <v>286</v>
      </c>
      <c r="Q39" s="63">
        <v>20230403</v>
      </c>
      <c r="R39" s="63">
        <v>20230428</v>
      </c>
      <c r="S39" s="63" t="s">
        <v>950</v>
      </c>
      <c r="T39" s="5" t="s">
        <v>951</v>
      </c>
      <c r="U39" s="5" t="s">
        <v>952</v>
      </c>
      <c r="V39" s="5" t="s">
        <v>951</v>
      </c>
    </row>
    <row r="40" spans="1:22" x14ac:dyDescent="0.25">
      <c r="A40" s="22"/>
      <c r="B40" t="str">
        <f t="shared" si="0"/>
        <v>OFF-LINE</v>
      </c>
      <c r="C40" s="22" t="s">
        <v>1314</v>
      </c>
      <c r="D40" s="22" t="s">
        <v>165</v>
      </c>
      <c r="E40" s="22" t="s">
        <v>1310</v>
      </c>
      <c r="F40" s="63" t="s">
        <v>237</v>
      </c>
      <c r="G40" s="63" t="s">
        <v>283</v>
      </c>
      <c r="H40" s="63" t="s">
        <v>311</v>
      </c>
      <c r="I40" s="63" t="s">
        <v>240</v>
      </c>
      <c r="J40" s="63" t="s">
        <v>284</v>
      </c>
      <c r="K40" s="63" t="s">
        <v>242</v>
      </c>
      <c r="L40" s="63">
        <v>46</v>
      </c>
      <c r="M40" s="64" t="s">
        <v>285</v>
      </c>
      <c r="N40" s="64" t="s">
        <v>277</v>
      </c>
      <c r="O40" s="63"/>
      <c r="P40" s="65"/>
      <c r="Q40" s="63">
        <v>20230426</v>
      </c>
      <c r="R40" s="63"/>
      <c r="S40" s="63" t="s">
        <v>287</v>
      </c>
      <c r="T40" s="5" t="s">
        <v>288</v>
      </c>
      <c r="U40" s="5" t="s">
        <v>289</v>
      </c>
      <c r="V40" s="5" t="s">
        <v>288</v>
      </c>
    </row>
    <row r="41" spans="1:22" x14ac:dyDescent="0.25">
      <c r="A41" s="22"/>
      <c r="B41" t="str">
        <f t="shared" si="0"/>
        <v>ON-LINE</v>
      </c>
      <c r="C41" s="22" t="s">
        <v>1315</v>
      </c>
      <c r="D41" s="22" t="s">
        <v>165</v>
      </c>
      <c r="E41" s="22" t="s">
        <v>1311</v>
      </c>
      <c r="F41" s="63" t="s">
        <v>237</v>
      </c>
      <c r="G41" s="63" t="s">
        <v>292</v>
      </c>
      <c r="H41" s="63" t="s">
        <v>239</v>
      </c>
      <c r="I41" s="63" t="s">
        <v>240</v>
      </c>
      <c r="J41" s="63" t="s">
        <v>284</v>
      </c>
      <c r="K41" s="63" t="s">
        <v>242</v>
      </c>
      <c r="L41" s="63">
        <v>42</v>
      </c>
      <c r="M41" s="64" t="s">
        <v>243</v>
      </c>
      <c r="N41" s="64" t="s">
        <v>293</v>
      </c>
      <c r="O41" s="63"/>
      <c r="P41" s="65"/>
      <c r="Q41" s="63"/>
      <c r="R41" s="63">
        <v>20230426</v>
      </c>
      <c r="S41" s="63" t="s">
        <v>294</v>
      </c>
      <c r="T41" s="5" t="s">
        <v>295</v>
      </c>
      <c r="U41" s="5" t="s">
        <v>296</v>
      </c>
      <c r="V41" s="5" t="s">
        <v>295</v>
      </c>
    </row>
    <row r="42" spans="1:22" x14ac:dyDescent="0.25">
      <c r="B42" t="str">
        <f t="shared" si="0"/>
        <v>OFF-LINE</v>
      </c>
      <c r="C42" t="s">
        <v>327</v>
      </c>
      <c r="D42" t="s">
        <v>165</v>
      </c>
      <c r="E42" t="s">
        <v>328</v>
      </c>
      <c r="F42" t="s">
        <v>384</v>
      </c>
      <c r="G42" t="s">
        <v>310</v>
      </c>
      <c r="L42" s="30">
        <f>TRUNC((1-(N42/M42))*100,0)</f>
        <v>45</v>
      </c>
      <c r="M42" s="11" t="s">
        <v>285</v>
      </c>
      <c r="N42" s="11" t="s">
        <v>277</v>
      </c>
      <c r="P42" t="s">
        <v>286</v>
      </c>
      <c r="Q42">
        <v>20220729</v>
      </c>
      <c r="R42">
        <v>20220930</v>
      </c>
      <c r="S42" t="s">
        <v>312</v>
      </c>
      <c r="T42" t="s">
        <v>313</v>
      </c>
      <c r="U42" t="s">
        <v>329</v>
      </c>
      <c r="V42" t="s">
        <v>313</v>
      </c>
    </row>
    <row r="43" spans="1:22" x14ac:dyDescent="0.25">
      <c r="B43" t="str">
        <f t="shared" si="0"/>
        <v>OFF-LINE</v>
      </c>
      <c r="C43" t="s">
        <v>386</v>
      </c>
      <c r="D43" t="s">
        <v>165</v>
      </c>
      <c r="E43" t="s">
        <v>387</v>
      </c>
      <c r="F43" t="s">
        <v>385</v>
      </c>
      <c r="G43" t="s">
        <v>323</v>
      </c>
      <c r="L43" s="30"/>
      <c r="M43" s="11" t="s">
        <v>388</v>
      </c>
      <c r="N43" s="11" t="s">
        <v>389</v>
      </c>
      <c r="P43" t="s">
        <v>286</v>
      </c>
      <c r="Q43">
        <v>20220501</v>
      </c>
      <c r="R43">
        <v>20220831</v>
      </c>
      <c r="S43" t="s">
        <v>324</v>
      </c>
      <c r="T43" t="s">
        <v>325</v>
      </c>
      <c r="U43" t="s">
        <v>326</v>
      </c>
      <c r="V43" t="s">
        <v>325</v>
      </c>
    </row>
    <row r="44" spans="1:22" x14ac:dyDescent="0.25">
      <c r="B44" t="str">
        <f t="shared" si="0"/>
        <v>OFF-LINE</v>
      </c>
      <c r="C44" s="19" t="s">
        <v>302</v>
      </c>
      <c r="D44" t="s">
        <v>165</v>
      </c>
      <c r="E44" t="s">
        <v>303</v>
      </c>
      <c r="F44" t="s">
        <v>27</v>
      </c>
      <c r="G44" t="s">
        <v>304</v>
      </c>
      <c r="L44" s="30">
        <f>TRUNC((1-(N44/M44))*100,0)</f>
        <v>23</v>
      </c>
      <c r="M44" s="11" t="s">
        <v>390</v>
      </c>
      <c r="N44" s="11" t="s">
        <v>299</v>
      </c>
      <c r="P44" t="s">
        <v>286</v>
      </c>
      <c r="Q44">
        <v>20220913</v>
      </c>
      <c r="R44">
        <v>20221031</v>
      </c>
      <c r="S44" t="s">
        <v>305</v>
      </c>
      <c r="T44" t="s">
        <v>306</v>
      </c>
      <c r="U44" t="s">
        <v>307</v>
      </c>
      <c r="V44" t="s">
        <v>306</v>
      </c>
    </row>
    <row r="45" spans="1:22" x14ac:dyDescent="0.25">
      <c r="B45" t="str">
        <f t="shared" si="0"/>
        <v>OFF-LINE</v>
      </c>
      <c r="C45" s="19" t="s">
        <v>391</v>
      </c>
      <c r="D45" t="s">
        <v>165</v>
      </c>
      <c r="E45" t="s">
        <v>392</v>
      </c>
      <c r="F45" t="s">
        <v>393</v>
      </c>
      <c r="G45" t="s">
        <v>394</v>
      </c>
      <c r="L45" s="30"/>
      <c r="M45" s="11"/>
      <c r="N45" s="11"/>
      <c r="P45" t="s">
        <v>286</v>
      </c>
      <c r="Q45">
        <v>20220501</v>
      </c>
      <c r="R45">
        <v>20220831</v>
      </c>
      <c r="S45" t="s">
        <v>395</v>
      </c>
      <c r="T45" t="s">
        <v>325</v>
      </c>
      <c r="U45" t="s">
        <v>326</v>
      </c>
      <c r="V45" t="s">
        <v>325</v>
      </c>
    </row>
    <row r="46" spans="1:22" x14ac:dyDescent="0.25">
      <c r="L46" s="30"/>
    </row>
  </sheetData>
  <autoFilter ref="A7:V45" xr:uid="{6C890BE0-1EC6-4789-83CF-E3B503A781D0}"/>
  <mergeCells count="5">
    <mergeCell ref="C1:V1"/>
    <mergeCell ref="T2:V2"/>
    <mergeCell ref="T6:V6"/>
    <mergeCell ref="B32:V32"/>
    <mergeCell ref="B8:V8"/>
  </mergeCells>
  <conditionalFormatting sqref="B1:B1048576">
    <cfRule type="cellIs" dxfId="12" priority="1" operator="equal">
      <formula>"ON-LINE"</formula>
    </cfRule>
  </conditionalFormatting>
  <hyperlinks>
    <hyperlink ref="T39" r:id="rId1" display="https://planoscelular.claro.com.br/claro/pt/offer-plan/externalUri?offerPlanId=22377&amp;coupon=f8270c16f970fec04b886713c30943e9&amp;msisdn=msisdn&amp;targetCampaign=migra&amp;paymentMethod=debitcard&amp;loyalty=true&amp;invoiceType=DIGITAL&amp;processType=EXCHANGE&amp;utm_source=minhaclaro-deckvendas_app&amp;utm_medium=carrossel_troca_pos&amp;utm_campaign=novoecom_200GB_troca_seg&amp;utm_id=OS71567" xr:uid="{0DB7272E-A67B-4614-9AC3-584CC152F130}"/>
    <hyperlink ref="U39" r:id="rId2" display="https://planoscelular.claro.com.br/claro/pt/offer-plan/externalUri?offerPlanId=22377&amp;coupon=f8270c16f970fec04b886713c30943e9&amp;msisdn=msisdn&amp;targetCampaign=migra&amp;paymentMethod=debitcard&amp;loyalty=true&amp;invoiceType=DIGITAL&amp;processType=EXCHANGE&amp;utm_source=minhaclaro-deckvendas_web&amp;utm_medium=carrossel_troca_pos&amp;utm_campaign=novoecom_200GB_troca_seg&amp;utm_id=OS71567" xr:uid="{9A6A12BA-D8F4-4CA8-A157-8E9B72196E74}"/>
    <hyperlink ref="V39" r:id="rId3" display="https://planoscelular.claro.com.br/claro/pt/offer-plan/externalUri?offerPlanId=22377&amp;coupon=f8270c16f970fec04b886713c30943e9&amp;msisdn=msisdn&amp;targetCampaign=migra&amp;paymentMethod=debitcard&amp;loyalty=true&amp;invoiceType=DIGITAL&amp;processType=EXCHANGE&amp;utm_source=minhaclaro-deckvendas_app&amp;utm_medium=carrossel_troca_pos&amp;utm_campaign=novoecom_200GB_troca_seg&amp;utm_id=OS71567" xr:uid="{8AA358AA-5FAF-4BDC-90EF-103DFEF3D673}"/>
  </hyperlinks>
  <pageMargins left="0.511811024" right="0.511811024" top="0.78740157499999996" bottom="0.78740157499999996" header="0.31496062000000002" footer="0.31496062000000002"/>
  <pageSetup paperSize="9" orientation="portrait" horizontalDpi="300" verticalDpi="30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7" name="Button 1">
              <controlPr defaultSize="0" print="0" autoFill="0" autoPict="0" macro="[0]!CopiarIntervaloOFERTAS_EXCLUSIVAS">
                <anchor moveWithCells="1" sizeWithCells="1">
                  <from>
                    <xdr:col>0</xdr:col>
                    <xdr:colOff>209550</xdr:colOff>
                    <xdr:row>0</xdr:row>
                    <xdr:rowOff>180975</xdr:rowOff>
                  </from>
                  <to>
                    <xdr:col>1</xdr:col>
                    <xdr:colOff>723900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E6015-DD84-4321-A033-1DE079ECFD1C}">
  <sheetPr codeName="Planilha25"/>
  <dimension ref="A1:A18"/>
  <sheetViews>
    <sheetView topLeftCell="A10" workbookViewId="0">
      <selection activeCell="A19" sqref="A19"/>
    </sheetView>
  </sheetViews>
  <sheetFormatPr defaultRowHeight="15" x14ac:dyDescent="0.25"/>
  <sheetData>
    <row r="1" spans="1:1" x14ac:dyDescent="0.25">
      <c r="A1" t="s">
        <v>158</v>
      </c>
    </row>
    <row r="2" spans="1:1" x14ac:dyDescent="0.25">
      <c r="A2" t="s">
        <v>1049</v>
      </c>
    </row>
    <row r="3" spans="1:1" x14ac:dyDescent="0.25">
      <c r="A3" t="s">
        <v>206</v>
      </c>
    </row>
    <row r="4" spans="1:1" x14ac:dyDescent="0.25">
      <c r="A4" t="s">
        <v>1050</v>
      </c>
    </row>
    <row r="5" spans="1:1" x14ac:dyDescent="0.25">
      <c r="A5" t="s">
        <v>1051</v>
      </c>
    </row>
    <row r="6" spans="1:1" x14ac:dyDescent="0.25">
      <c r="A6" t="s">
        <v>1052</v>
      </c>
    </row>
    <row r="7" spans="1:1" x14ac:dyDescent="0.25">
      <c r="A7" t="s">
        <v>1053</v>
      </c>
    </row>
    <row r="8" spans="1:1" x14ac:dyDescent="0.25">
      <c r="A8" t="s">
        <v>1054</v>
      </c>
    </row>
    <row r="9" spans="1:1" x14ac:dyDescent="0.25">
      <c r="A9" t="s">
        <v>1055</v>
      </c>
    </row>
    <row r="10" spans="1:1" x14ac:dyDescent="0.25">
      <c r="A10" t="s">
        <v>1056</v>
      </c>
    </row>
    <row r="11" spans="1:1" x14ac:dyDescent="0.25">
      <c r="A11" t="s">
        <v>1057</v>
      </c>
    </row>
    <row r="12" spans="1:1" x14ac:dyDescent="0.25">
      <c r="A12" t="s">
        <v>1058</v>
      </c>
    </row>
    <row r="13" spans="1:1" x14ac:dyDescent="0.25">
      <c r="A13" t="s">
        <v>1059</v>
      </c>
    </row>
    <row r="14" spans="1:1" x14ac:dyDescent="0.25">
      <c r="A14" t="s">
        <v>1060</v>
      </c>
    </row>
    <row r="15" spans="1:1" x14ac:dyDescent="0.25">
      <c r="A15" t="s">
        <v>1061</v>
      </c>
    </row>
    <row r="16" spans="1:1" x14ac:dyDescent="0.25">
      <c r="A16" t="s">
        <v>1062</v>
      </c>
    </row>
    <row r="17" spans="1:1" x14ac:dyDescent="0.25">
      <c r="A17" t="s">
        <v>1063</v>
      </c>
    </row>
    <row r="18" spans="1:1" x14ac:dyDescent="0.25">
      <c r="A18" t="s">
        <v>202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11B8EE-11A7-4E44-80E9-3DF9D01406D7}">
  <sheetPr codeName="Planilha3"/>
  <dimension ref="A1:D35"/>
  <sheetViews>
    <sheetView workbookViewId="0">
      <selection activeCell="B11" sqref="B11"/>
    </sheetView>
  </sheetViews>
  <sheetFormatPr defaultRowHeight="15" x14ac:dyDescent="0.25"/>
  <cols>
    <col min="1" max="1" width="43.140625" customWidth="1"/>
    <col min="2" max="2" width="39.85546875" customWidth="1"/>
  </cols>
  <sheetData>
    <row r="1" spans="1:4" x14ac:dyDescent="0.25">
      <c r="A1" t="s">
        <v>158</v>
      </c>
      <c r="D1" t="str">
        <f>A1</f>
        <v>{</v>
      </c>
    </row>
    <row r="2" spans="1:4" x14ac:dyDescent="0.25">
      <c r="A2" t="s">
        <v>160</v>
      </c>
      <c r="B2" t="str">
        <f>'NEW OFFER EXC'!C4</f>
        <v>f1fba103-9245-4880-97bb-3eb93b99943d</v>
      </c>
      <c r="C2" t="s">
        <v>161</v>
      </c>
      <c r="D2" t="str">
        <f t="shared" ref="D2:D13" si="0">A2&amp;B2&amp;C2</f>
        <v xml:space="preserve"> "idcampanha":"f1fba103-9245-4880-97bb-3eb93b99943d",</v>
      </c>
    </row>
    <row r="3" spans="1:4" x14ac:dyDescent="0.25">
      <c r="A3" t="s">
        <v>164</v>
      </c>
      <c r="B3" t="str">
        <f>'NEW OFFER EXC'!D4</f>
        <v>true</v>
      </c>
      <c r="C3" t="s">
        <v>166</v>
      </c>
      <c r="D3" t="str">
        <f t="shared" si="0"/>
        <v xml:space="preserve"> "ativo":true,</v>
      </c>
    </row>
    <row r="4" spans="1:4" x14ac:dyDescent="0.25">
      <c r="A4" t="s">
        <v>168</v>
      </c>
      <c r="B4" t="str">
        <f>'NEW OFFER EXC'!E4</f>
        <v>AMX144422</v>
      </c>
      <c r="C4" t="s">
        <v>161</v>
      </c>
      <c r="D4" t="str">
        <f t="shared" si="0"/>
        <v xml:space="preserve"> "codCampanha":"AMX144422",</v>
      </c>
    </row>
    <row r="5" spans="1:4" x14ac:dyDescent="0.25">
      <c r="A5" t="s">
        <v>396</v>
      </c>
      <c r="B5">
        <f>'NEW OFFER EXC'!Q4</f>
        <v>20230502</v>
      </c>
      <c r="C5" t="s">
        <v>161</v>
      </c>
      <c r="D5" t="str">
        <f t="shared" si="0"/>
        <v xml:space="preserve"> "dtVigenciaIni": "20230502",</v>
      </c>
    </row>
    <row r="6" spans="1:4" x14ac:dyDescent="0.25">
      <c r="A6" t="s">
        <v>397</v>
      </c>
      <c r="B6">
        <f>'NEW OFFER EXC'!R4</f>
        <v>20230531</v>
      </c>
      <c r="C6" t="s">
        <v>161</v>
      </c>
      <c r="D6" t="str">
        <f t="shared" si="0"/>
        <v xml:space="preserve"> "dtVigenciaFim": "20230531",</v>
      </c>
    </row>
    <row r="7" spans="1:4" x14ac:dyDescent="0.25">
      <c r="A7" t="s">
        <v>191</v>
      </c>
      <c r="B7" t="str">
        <f>IF('NEW OFFER EXC'!O4="","",'NEW OFFER EXC'!O4)</f>
        <v>PRE_PAGO</v>
      </c>
      <c r="C7" t="s">
        <v>161</v>
      </c>
      <c r="D7" t="str">
        <f t="shared" si="0"/>
        <v xml:space="preserve"> "segmento":"PRE_PAGO",</v>
      </c>
    </row>
    <row r="8" spans="1:4" x14ac:dyDescent="0.25">
      <c r="A8" t="s">
        <v>398</v>
      </c>
      <c r="B8" t="str">
        <f>IF('NEW OFFER EXC'!P4="","",'NEW OFFER EXC'!P4)</f>
        <v>mailing</v>
      </c>
      <c r="C8" t="s">
        <v>161</v>
      </c>
      <c r="D8" t="str">
        <f t="shared" si="0"/>
        <v xml:space="preserve"> "metodo": "mailing",</v>
      </c>
    </row>
    <row r="9" spans="1:4" x14ac:dyDescent="0.25">
      <c r="A9" t="s">
        <v>195</v>
      </c>
      <c r="B9" t="str">
        <f>'NEW OFFER EXC'!F4</f>
        <v>Móvel</v>
      </c>
      <c r="C9" t="s">
        <v>161</v>
      </c>
      <c r="D9" t="str">
        <f t="shared" si="0"/>
        <v xml:space="preserve"> "nome": "Móvel",</v>
      </c>
    </row>
    <row r="10" spans="1:4" x14ac:dyDescent="0.25">
      <c r="A10" t="s">
        <v>196</v>
      </c>
      <c r="B10">
        <v>1</v>
      </c>
      <c r="C10" t="s">
        <v>166</v>
      </c>
      <c r="D10" t="str">
        <f t="shared" si="0"/>
        <v xml:space="preserve"> "prioridade":1,</v>
      </c>
    </row>
    <row r="11" spans="1:4" x14ac:dyDescent="0.25">
      <c r="A11" t="s">
        <v>197</v>
      </c>
      <c r="B11" t="str">
        <f>'NEW OFFER EXC'!G4</f>
        <v>Contrate o plano Claro Controle 15GB - Oferta Exclusiva</v>
      </c>
      <c r="C11" t="s">
        <v>161</v>
      </c>
      <c r="D11" t="str">
        <f t="shared" si="0"/>
        <v xml:space="preserve"> "textoPrincipal": "Contrate o plano Claro Controle 15GB - Oferta Exclusiva",</v>
      </c>
    </row>
    <row r="12" spans="1:4" x14ac:dyDescent="0.25">
      <c r="A12" t="s">
        <v>198</v>
      </c>
      <c r="B12" t="str">
        <f>IF('NEW OFFER EXC'!H4="","",'NEW OFFER EXC'!H4)</f>
        <v>no débito automático</v>
      </c>
      <c r="C12" t="s">
        <v>161</v>
      </c>
      <c r="D12" t="str">
        <f t="shared" si="0"/>
        <v xml:space="preserve"> "textoSecundario": "no débito automático",</v>
      </c>
    </row>
    <row r="13" spans="1:4" x14ac:dyDescent="0.25">
      <c r="A13" t="s">
        <v>189</v>
      </c>
      <c r="B13" t="str">
        <f>IF('NEW OFFER EXC'!I4="","",'NEW OFFER EXC'!I4)</f>
        <v>Apps ilimitados para você</v>
      </c>
      <c r="C13" t="s">
        <v>161</v>
      </c>
      <c r="D13" t="str">
        <f t="shared" si="0"/>
        <v xml:space="preserve"> "descricao": "Apps ilimitados para você",</v>
      </c>
    </row>
    <row r="14" spans="1:4" x14ac:dyDescent="0.25">
      <c r="A14" t="s">
        <v>399</v>
      </c>
      <c r="B14" t="str">
        <f>IF('NEW OFFER EXC'!J4="","",'NEW OFFER EXC'!J4)</f>
        <v>apps_planos_2apps.png</v>
      </c>
      <c r="C14" t="s">
        <v>400</v>
      </c>
      <c r="D14" t="str">
        <f>IF(B14="","",A14&amp;B14&amp;C14)</f>
        <v xml:space="preserve"> "pathImagemS3": "{\"default\":\"sales_deck/apps_planos_2apps.png\"}",</v>
      </c>
    </row>
    <row r="15" spans="1:4" x14ac:dyDescent="0.25">
      <c r="A15" t="s">
        <v>199</v>
      </c>
      <c r="B15" t="s">
        <v>401</v>
      </c>
      <c r="C15" t="s">
        <v>161</v>
      </c>
      <c r="D15" t="str">
        <f>A15&amp;B15&amp;C15</f>
        <v xml:space="preserve"> "tipo": "salesdeck",</v>
      </c>
    </row>
    <row r="16" spans="1:4" x14ac:dyDescent="0.25">
      <c r="A16" t="s">
        <v>185</v>
      </c>
      <c r="D16" t="str">
        <f>A21&amp;A22&amp;B22&amp;C22&amp;A23&amp;B23&amp;C23&amp;A24&amp;B24&amp;C24&amp;A25&amp;B25&amp;C25&amp;A26&amp;B26&amp;C26&amp;A34</f>
        <v xml:space="preserve"> "defaultMetaData": "{  \"DESCONTO_PERCENTUAL\": \"46\", \"VALOR_PLANO_CHEIO\": \"54,90\", \"VALOR_PLANO_DESCONTO\": \"29,90\", \"template\": \"plans\", \"TAG\": \"oferta_exclusiva:claro_controle_15gb\"}",</v>
      </c>
    </row>
    <row r="17" spans="1:4" x14ac:dyDescent="0.25">
      <c r="A17" t="s">
        <v>186</v>
      </c>
      <c r="B17" t="str">
        <f>'NEW OFFER EXC'!T4</f>
        <v>https://planoscelular.claro.com.br/claro/pt/offer-plan/externalUri?offerPlanId=22283&amp;coupon=87a9d19a41a024ec0bd50f29e7f375ca2b92a36da9f0070651ed982e59fd8f1b&amp;msisdn=msisdn&amp;targetCampaign=migra&amp;paymentMethod=debitcard&amp;loyalty=true&amp;invoiceType=DIGITAL&amp;processType=MIGRATE&amp;utm_source=minhaclaro-deckvendas_app&amp;utm_medium=controle-clientepre-oferta&amp;utm_campaign=gatilhomudecontrole15gb</v>
      </c>
      <c r="C17" t="s">
        <v>163</v>
      </c>
      <c r="D17" t="str">
        <f>A16&amp;A17&amp;B17&amp;C17&amp;A18&amp;B18&amp;C18&amp;A19&amp;B19&amp;C19&amp;A20</f>
        <v xml:space="preserve"> "defaultUrlRedirect": "{ \"default\": \"https://planoscelular.claro.com.br/claro/pt/offer-plan/externalUri?offerPlanId=22283&amp;coupon=87a9d19a41a024ec0bd50f29e7f375ca2b92a36da9f0070651ed982e59fd8f1b&amp;msisdn=msisdn&amp;targetCampaign=migra&amp;paymentMethod=debitcard&amp;loyalty=true&amp;invoiceType=DIGITAL&amp;processType=MIGRATE&amp;utm_source=minhaclaro-deckvendas_app&amp;utm_medium=controle-clientepre-oferta&amp;utm_campaign=gatilhomudecontrole15gb\", \"MCLA\": \"https://planoscelular.claro.com.br/claro/pt/offer-plan/externalUri?offerPlanId=22283&amp;coupon=87a9d19a41a024ec0bd50f29e7f375ca2b92a36da9f0070651ed982e59fd8f1b&amp;msisdn=msisdn&amp;targetCampaign=migra&amp;paymentMethod=debitcard&amp;loyalty=true&amp;invoiceType=DIGITAL&amp;processType=MIGRATE&amp;utm_source=minhaclaro-deckvendas_web&amp;utm_medium=controle-clientepre-oferta&amp;utm_campaign=gatilhomudecontrole15gb\", \"MCAP\": \"https://planoscelular.claro.com.br/claro/pt/offer-plan/externalUri?offerPlanId=22283&amp;coupon=87a9d19a41a024ec0bd50f29e7f375ca2b92a36da9f0070651ed982e59fd8f1b&amp;msisdn=msisdn&amp;targetCampaign=migra&amp;paymentMethod=debitcard&amp;loyalty=true&amp;invoiceType=DIGITAL&amp;processType=MIGRATE&amp;utm_source=minhaclaro-deckvendas_app&amp;utm_medium=controle-clientepre-oferta&amp;utm_campaign=gatilhomudecontrole15gb\"}"</v>
      </c>
    </row>
    <row r="18" spans="1:4" x14ac:dyDescent="0.25">
      <c r="A18" t="s">
        <v>187</v>
      </c>
      <c r="B18" t="str">
        <f>'NEW OFFER EXC'!U4</f>
        <v>https://planoscelular.claro.com.br/claro/pt/offer-plan/externalUri?offerPlanId=22283&amp;coupon=87a9d19a41a024ec0bd50f29e7f375ca2b92a36da9f0070651ed982e59fd8f1b&amp;msisdn=msisdn&amp;targetCampaign=migra&amp;paymentMethod=debitcard&amp;loyalty=true&amp;invoiceType=DIGITAL&amp;processType=MIGRATE&amp;utm_source=minhaclaro-deckvendas_web&amp;utm_medium=controle-clientepre-oferta&amp;utm_campaign=gatilhomudecontrole15gb</v>
      </c>
      <c r="C18" t="s">
        <v>163</v>
      </c>
      <c r="D18" t="str">
        <f>A35</f>
        <v>},</v>
      </c>
    </row>
    <row r="19" spans="1:4" x14ac:dyDescent="0.25">
      <c r="A19" t="s">
        <v>188</v>
      </c>
      <c r="B19" t="str">
        <f>'NEW OFFER EXC'!V4</f>
        <v>https://planoscelular.claro.com.br/claro/pt/offer-plan/externalUri?offerPlanId=22283&amp;coupon=87a9d19a41a024ec0bd50f29e7f375ca2b92a36da9f0070651ed982e59fd8f1b&amp;msisdn=msisdn&amp;targetCampaign=migra&amp;paymentMethod=debitcard&amp;loyalty=true&amp;invoiceType=DIGITAL&amp;processType=MIGRATE&amp;utm_source=minhaclaro-deckvendas_app&amp;utm_medium=controle-clientepre-oferta&amp;utm_campaign=gatilhomudecontrole15gb</v>
      </c>
      <c r="C19" t="s">
        <v>183</v>
      </c>
    </row>
    <row r="20" spans="1:4" x14ac:dyDescent="0.25">
      <c r="A20" t="s">
        <v>402</v>
      </c>
    </row>
    <row r="21" spans="1:4" x14ac:dyDescent="0.25">
      <c r="A21" t="s">
        <v>170</v>
      </c>
    </row>
    <row r="22" spans="1:4" x14ac:dyDescent="0.25">
      <c r="A22" t="s">
        <v>403</v>
      </c>
      <c r="B22">
        <f>'NEW OFFER EXC'!L4</f>
        <v>46</v>
      </c>
      <c r="C22" t="s">
        <v>163</v>
      </c>
    </row>
    <row r="23" spans="1:4" x14ac:dyDescent="0.25">
      <c r="A23" t="s">
        <v>404</v>
      </c>
      <c r="B23" s="11" t="str">
        <f>'NEW OFFER EXC'!M4</f>
        <v>54,90</v>
      </c>
      <c r="C23" t="s">
        <v>163</v>
      </c>
    </row>
    <row r="24" spans="1:4" x14ac:dyDescent="0.25">
      <c r="A24" t="s">
        <v>405</v>
      </c>
      <c r="B24" s="11" t="str">
        <f>'NEW OFFER EXC'!N4</f>
        <v>29,90</v>
      </c>
      <c r="C24" t="s">
        <v>163</v>
      </c>
    </row>
    <row r="25" spans="1:4" x14ac:dyDescent="0.25">
      <c r="A25" t="s">
        <v>406</v>
      </c>
      <c r="B25" t="str">
        <f>IF('NEW OFFER EXC'!K4="","",'NEW OFFER EXC'!K4)</f>
        <v>plans</v>
      </c>
      <c r="C25" t="s">
        <v>163</v>
      </c>
    </row>
    <row r="26" spans="1:4" x14ac:dyDescent="0.25">
      <c r="A26" t="s">
        <v>407</v>
      </c>
      <c r="B26" t="str">
        <f>'NEW OFFER EXC'!S4</f>
        <v>claro_controle_15gb</v>
      </c>
      <c r="C26" t="s">
        <v>183</v>
      </c>
    </row>
    <row r="32" spans="1:4" x14ac:dyDescent="0.25">
      <c r="B32" s="16"/>
    </row>
    <row r="34" spans="1:1" x14ac:dyDescent="0.25">
      <c r="A34" t="s">
        <v>184</v>
      </c>
    </row>
    <row r="35" spans="1:1" x14ac:dyDescent="0.25">
      <c r="A35" t="s">
        <v>202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ED76B5-ABE9-4AE6-A7F0-08CF7FAB6CA8}">
  <sheetPr codeName="Planilha6"/>
  <dimension ref="A1:T36"/>
  <sheetViews>
    <sheetView workbookViewId="0">
      <selection activeCell="G12" sqref="G12"/>
    </sheetView>
  </sheetViews>
  <sheetFormatPr defaultRowHeight="15" x14ac:dyDescent="0.25"/>
  <cols>
    <col min="1" max="1" width="3.85546875" customWidth="1"/>
    <col min="2" max="2" width="11.140625" customWidth="1"/>
    <col min="3" max="3" width="36.28515625" customWidth="1"/>
    <col min="5" max="5" width="15.7109375" customWidth="1"/>
    <col min="6" max="6" width="31.7109375" customWidth="1"/>
    <col min="7" max="7" width="52" customWidth="1"/>
    <col min="8" max="8" width="13.42578125" customWidth="1"/>
    <col min="9" max="9" width="14" customWidth="1"/>
    <col min="10" max="10" width="12.42578125" customWidth="1"/>
    <col min="11" max="12" width="15.7109375" customWidth="1"/>
    <col min="13" max="13" width="17.5703125" customWidth="1"/>
    <col min="14" max="14" width="16.7109375" customWidth="1"/>
    <col min="15" max="15" width="19" customWidth="1"/>
    <col min="16" max="16" width="18.140625" customWidth="1"/>
    <col min="17" max="17" width="18.28515625" customWidth="1"/>
  </cols>
  <sheetData>
    <row r="1" spans="1:20" x14ac:dyDescent="0.25">
      <c r="C1" s="69" t="s">
        <v>203</v>
      </c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  <c r="Q1" s="69"/>
    </row>
    <row r="2" spans="1:20" x14ac:dyDescent="0.25">
      <c r="O2" s="70" t="s">
        <v>216</v>
      </c>
      <c r="P2" s="70"/>
      <c r="Q2" s="70"/>
    </row>
    <row r="3" spans="1:20" x14ac:dyDescent="0.25">
      <c r="C3" s="17" t="s">
        <v>217</v>
      </c>
      <c r="D3" s="17" t="s">
        <v>218</v>
      </c>
      <c r="E3" s="17" t="s">
        <v>219</v>
      </c>
      <c r="F3" s="17" t="s">
        <v>220</v>
      </c>
      <c r="G3" s="17" t="s">
        <v>221</v>
      </c>
      <c r="H3" s="17" t="s">
        <v>226</v>
      </c>
      <c r="I3" s="17" t="s">
        <v>8</v>
      </c>
      <c r="J3" s="17" t="s">
        <v>227</v>
      </c>
      <c r="K3" s="17" t="s">
        <v>228</v>
      </c>
      <c r="L3" s="17" t="s">
        <v>229</v>
      </c>
      <c r="M3" s="17" t="s">
        <v>230</v>
      </c>
      <c r="N3" s="17" t="s">
        <v>231</v>
      </c>
      <c r="O3" s="17" t="s">
        <v>232</v>
      </c>
      <c r="P3" s="17" t="s">
        <v>233</v>
      </c>
      <c r="Q3" s="17" t="s">
        <v>234</v>
      </c>
    </row>
    <row r="4" spans="1:20" x14ac:dyDescent="0.25">
      <c r="B4">
        <v>21</v>
      </c>
      <c r="C4" t="s">
        <v>335</v>
      </c>
      <c r="D4" t="s">
        <v>165</v>
      </c>
      <c r="E4" t="s">
        <v>331</v>
      </c>
      <c r="F4" t="s">
        <v>408</v>
      </c>
      <c r="G4" t="s">
        <v>332</v>
      </c>
      <c r="H4" s="30">
        <f>TRUNC((1-(J4/I4))*100,0)</f>
        <v>20</v>
      </c>
      <c r="I4" s="11" t="s">
        <v>333</v>
      </c>
      <c r="J4" s="11" t="s">
        <v>243</v>
      </c>
      <c r="L4" t="s">
        <v>286</v>
      </c>
      <c r="M4">
        <v>20230101</v>
      </c>
      <c r="N4">
        <v>20230228</v>
      </c>
      <c r="O4" s="5" t="s">
        <v>247</v>
      </c>
      <c r="P4" t="s">
        <v>334</v>
      </c>
      <c r="Q4" t="s">
        <v>247</v>
      </c>
    </row>
    <row r="6" spans="1:20" x14ac:dyDescent="0.25">
      <c r="O6" s="70" t="s">
        <v>216</v>
      </c>
      <c r="P6" s="70"/>
      <c r="Q6" s="70"/>
    </row>
    <row r="7" spans="1:20" x14ac:dyDescent="0.25">
      <c r="B7" s="20" t="s">
        <v>248</v>
      </c>
      <c r="C7" s="17" t="s">
        <v>217</v>
      </c>
      <c r="D7" s="17" t="s">
        <v>218</v>
      </c>
      <c r="E7" s="17" t="s">
        <v>219</v>
      </c>
      <c r="F7" s="17" t="s">
        <v>220</v>
      </c>
      <c r="G7" s="17" t="s">
        <v>221</v>
      </c>
      <c r="H7" s="17" t="s">
        <v>226</v>
      </c>
      <c r="I7" s="17" t="s">
        <v>8</v>
      </c>
      <c r="J7" s="17" t="s">
        <v>227</v>
      </c>
      <c r="K7" s="17" t="s">
        <v>228</v>
      </c>
      <c r="L7" s="17" t="s">
        <v>229</v>
      </c>
      <c r="M7" s="17" t="s">
        <v>230</v>
      </c>
      <c r="N7" s="17" t="s">
        <v>231</v>
      </c>
      <c r="O7" s="17" t="s">
        <v>232</v>
      </c>
      <c r="P7" s="17" t="s">
        <v>233</v>
      </c>
      <c r="Q7" s="17" t="s">
        <v>234</v>
      </c>
      <c r="T7" s="12"/>
    </row>
    <row r="8" spans="1:20" x14ac:dyDescent="0.25">
      <c r="A8">
        <v>8</v>
      </c>
      <c r="B8" t="str">
        <f>IF(D8="true",IF(N8&gt;20230202,"ON-LINE","OFF-LINE"),"OFF-LINE")</f>
        <v>OFF-LINE</v>
      </c>
      <c r="C8" t="s">
        <v>249</v>
      </c>
      <c r="D8" t="s">
        <v>250</v>
      </c>
      <c r="E8" t="s">
        <v>251</v>
      </c>
      <c r="F8" t="s">
        <v>409</v>
      </c>
      <c r="G8" t="s">
        <v>252</v>
      </c>
      <c r="H8" s="30">
        <f t="shared" ref="H8:H13" si="0">TRUNC((1-(J8/I8))*100,0)</f>
        <v>29</v>
      </c>
      <c r="I8" s="11" t="s">
        <v>253</v>
      </c>
      <c r="J8" s="11">
        <v>77.92</v>
      </c>
      <c r="K8" t="s">
        <v>254</v>
      </c>
      <c r="M8">
        <v>20230101</v>
      </c>
      <c r="N8">
        <v>20230131</v>
      </c>
      <c r="O8" s="5" t="s">
        <v>256</v>
      </c>
      <c r="P8" s="5" t="s">
        <v>257</v>
      </c>
      <c r="Q8" s="5" t="s">
        <v>256</v>
      </c>
    </row>
    <row r="9" spans="1:20" x14ac:dyDescent="0.25">
      <c r="A9">
        <v>9</v>
      </c>
      <c r="B9" t="str">
        <f t="shared" ref="B9:B21" si="1">IF(D9="true",IF(N9&gt;20230202,"ON-LINE","OFF-LINE"),"OFF-LINE")</f>
        <v>ON-LINE</v>
      </c>
      <c r="C9" t="s">
        <v>258</v>
      </c>
      <c r="D9" t="s">
        <v>165</v>
      </c>
      <c r="E9" t="s">
        <v>259</v>
      </c>
      <c r="F9" t="s">
        <v>410</v>
      </c>
      <c r="G9" t="s">
        <v>260</v>
      </c>
      <c r="H9" s="30">
        <f t="shared" si="0"/>
        <v>27</v>
      </c>
      <c r="I9" s="11" t="s">
        <v>262</v>
      </c>
      <c r="J9" s="11" t="s">
        <v>263</v>
      </c>
      <c r="K9" t="s">
        <v>254</v>
      </c>
      <c r="M9">
        <v>20230118</v>
      </c>
      <c r="N9">
        <v>20230228</v>
      </c>
      <c r="O9" s="5" t="s">
        <v>265</v>
      </c>
      <c r="P9" s="29" t="s">
        <v>266</v>
      </c>
      <c r="Q9" s="5" t="s">
        <v>265</v>
      </c>
    </row>
    <row r="10" spans="1:20" x14ac:dyDescent="0.25">
      <c r="A10">
        <v>10</v>
      </c>
      <c r="B10" t="str">
        <f t="shared" si="1"/>
        <v>OFF-LINE</v>
      </c>
      <c r="C10" t="s">
        <v>267</v>
      </c>
      <c r="D10" t="s">
        <v>165</v>
      </c>
      <c r="E10" t="s">
        <v>268</v>
      </c>
      <c r="F10" t="s">
        <v>408</v>
      </c>
      <c r="G10" t="s">
        <v>269</v>
      </c>
      <c r="H10" s="30">
        <f t="shared" si="0"/>
        <v>25</v>
      </c>
      <c r="I10" s="11" t="s">
        <v>270</v>
      </c>
      <c r="J10" s="11" t="s">
        <v>243</v>
      </c>
      <c r="K10" t="s">
        <v>254</v>
      </c>
      <c r="M10">
        <v>20221003</v>
      </c>
      <c r="N10">
        <v>20221111</v>
      </c>
      <c r="O10" t="s">
        <v>272</v>
      </c>
      <c r="P10" t="s">
        <v>273</v>
      </c>
      <c r="Q10" t="s">
        <v>272</v>
      </c>
    </row>
    <row r="11" spans="1:20" x14ac:dyDescent="0.25">
      <c r="A11">
        <v>11</v>
      </c>
      <c r="B11" t="str">
        <f t="shared" si="1"/>
        <v>OFF-LINE</v>
      </c>
      <c r="C11" t="s">
        <v>274</v>
      </c>
      <c r="D11" t="s">
        <v>165</v>
      </c>
      <c r="E11" t="s">
        <v>275</v>
      </c>
      <c r="F11" t="s">
        <v>411</v>
      </c>
      <c r="G11" t="s">
        <v>276</v>
      </c>
      <c r="H11" s="30">
        <f t="shared" si="0"/>
        <v>0</v>
      </c>
      <c r="I11" s="11" t="s">
        <v>277</v>
      </c>
      <c r="J11" s="11" t="s">
        <v>277</v>
      </c>
      <c r="K11" t="s">
        <v>192</v>
      </c>
      <c r="M11">
        <v>20221115</v>
      </c>
      <c r="N11">
        <v>20221231</v>
      </c>
      <c r="O11" t="s">
        <v>279</v>
      </c>
      <c r="P11" t="s">
        <v>280</v>
      </c>
      <c r="Q11" t="s">
        <v>279</v>
      </c>
    </row>
    <row r="12" spans="1:20" x14ac:dyDescent="0.25">
      <c r="A12">
        <v>12</v>
      </c>
      <c r="B12" t="str">
        <f t="shared" si="1"/>
        <v>ON-LINE</v>
      </c>
      <c r="C12" t="s">
        <v>281</v>
      </c>
      <c r="D12" t="s">
        <v>165</v>
      </c>
      <c r="E12" t="s">
        <v>282</v>
      </c>
      <c r="F12" t="s">
        <v>412</v>
      </c>
      <c r="G12" t="s">
        <v>376</v>
      </c>
      <c r="H12" s="30">
        <f t="shared" si="0"/>
        <v>0</v>
      </c>
      <c r="I12" s="11" t="s">
        <v>277</v>
      </c>
      <c r="J12" s="11" t="s">
        <v>277</v>
      </c>
      <c r="K12" t="s">
        <v>192</v>
      </c>
      <c r="M12">
        <v>20230101</v>
      </c>
      <c r="N12">
        <v>20230228</v>
      </c>
      <c r="O12" s="5" t="s">
        <v>413</v>
      </c>
      <c r="P12" s="5" t="s">
        <v>414</v>
      </c>
      <c r="Q12" s="5" t="s">
        <v>413</v>
      </c>
    </row>
    <row r="13" spans="1:20" x14ac:dyDescent="0.25">
      <c r="A13">
        <v>13</v>
      </c>
      <c r="B13" t="str">
        <f t="shared" si="1"/>
        <v>ON-LINE</v>
      </c>
      <c r="C13" t="s">
        <v>290</v>
      </c>
      <c r="D13" t="s">
        <v>165</v>
      </c>
      <c r="E13" t="s">
        <v>291</v>
      </c>
      <c r="F13" t="s">
        <v>380</v>
      </c>
      <c r="G13" t="s">
        <v>292</v>
      </c>
      <c r="H13" s="30">
        <f t="shared" si="0"/>
        <v>46</v>
      </c>
      <c r="I13" s="11" t="s">
        <v>390</v>
      </c>
      <c r="J13" s="11" t="s">
        <v>293</v>
      </c>
      <c r="L13" t="s">
        <v>286</v>
      </c>
      <c r="M13">
        <v>20230101</v>
      </c>
      <c r="N13">
        <v>20230228</v>
      </c>
      <c r="O13" t="s">
        <v>295</v>
      </c>
      <c r="P13" t="s">
        <v>296</v>
      </c>
      <c r="Q13" t="s">
        <v>295</v>
      </c>
    </row>
    <row r="14" spans="1:20" x14ac:dyDescent="0.25">
      <c r="A14">
        <v>14</v>
      </c>
      <c r="B14" t="str">
        <f t="shared" si="1"/>
        <v>OFF-LINE</v>
      </c>
      <c r="C14" t="s">
        <v>297</v>
      </c>
      <c r="D14" t="s">
        <v>165</v>
      </c>
      <c r="E14" t="s">
        <v>298</v>
      </c>
      <c r="F14" t="s">
        <v>415</v>
      </c>
      <c r="G14" t="s">
        <v>238</v>
      </c>
      <c r="H14" s="30">
        <f t="shared" ref="H14:H21" si="2">TRUNC((1-(J14/I14))*100,0)</f>
        <v>16</v>
      </c>
      <c r="I14" s="11" t="s">
        <v>243</v>
      </c>
      <c r="J14" s="11" t="s">
        <v>299</v>
      </c>
      <c r="L14" t="s">
        <v>286</v>
      </c>
      <c r="M14">
        <v>20221115</v>
      </c>
      <c r="N14">
        <v>20221231</v>
      </c>
      <c r="O14" t="s">
        <v>300</v>
      </c>
      <c r="P14" t="s">
        <v>301</v>
      </c>
      <c r="Q14" t="s">
        <v>300</v>
      </c>
    </row>
    <row r="15" spans="1:20" x14ac:dyDescent="0.25">
      <c r="A15">
        <v>15</v>
      </c>
      <c r="B15" t="str">
        <f t="shared" si="1"/>
        <v>ON-LINE</v>
      </c>
      <c r="C15" t="s">
        <v>235</v>
      </c>
      <c r="D15" t="s">
        <v>165</v>
      </c>
      <c r="E15" t="s">
        <v>303</v>
      </c>
      <c r="F15" t="s">
        <v>27</v>
      </c>
      <c r="G15" t="s">
        <v>304</v>
      </c>
      <c r="H15" s="30">
        <f t="shared" si="2"/>
        <v>16</v>
      </c>
      <c r="I15" s="11" t="s">
        <v>243</v>
      </c>
      <c r="J15" s="11" t="s">
        <v>299</v>
      </c>
      <c r="L15" t="s">
        <v>286</v>
      </c>
      <c r="M15">
        <v>20230101</v>
      </c>
      <c r="N15">
        <v>20230228</v>
      </c>
      <c r="O15" t="s">
        <v>306</v>
      </c>
      <c r="P15" t="s">
        <v>307</v>
      </c>
      <c r="Q15" t="s">
        <v>306</v>
      </c>
    </row>
    <row r="16" spans="1:20" x14ac:dyDescent="0.25">
      <c r="A16">
        <v>16</v>
      </c>
      <c r="B16" t="str">
        <f t="shared" si="1"/>
        <v>OFF-LINE</v>
      </c>
      <c r="C16" t="s">
        <v>308</v>
      </c>
      <c r="D16" t="s">
        <v>250</v>
      </c>
      <c r="E16" t="s">
        <v>309</v>
      </c>
      <c r="F16" t="s">
        <v>384</v>
      </c>
      <c r="G16" t="s">
        <v>310</v>
      </c>
      <c r="H16" s="30">
        <f t="shared" si="2"/>
        <v>0</v>
      </c>
      <c r="I16" s="11" t="s">
        <v>277</v>
      </c>
      <c r="J16" s="11" t="s">
        <v>277</v>
      </c>
      <c r="L16" t="s">
        <v>286</v>
      </c>
      <c r="M16">
        <v>20230101</v>
      </c>
      <c r="N16">
        <v>20230131</v>
      </c>
      <c r="O16" t="s">
        <v>313</v>
      </c>
      <c r="P16" t="s">
        <v>329</v>
      </c>
      <c r="Q16" t="s">
        <v>313</v>
      </c>
    </row>
    <row r="17" spans="1:17" x14ac:dyDescent="0.25">
      <c r="A17">
        <v>17</v>
      </c>
      <c r="B17" t="str">
        <f t="shared" si="1"/>
        <v>OFF-LINE</v>
      </c>
      <c r="C17" t="s">
        <v>315</v>
      </c>
      <c r="D17" t="s">
        <v>165</v>
      </c>
      <c r="E17" t="s">
        <v>316</v>
      </c>
      <c r="F17" t="s">
        <v>416</v>
      </c>
      <c r="G17" t="s">
        <v>317</v>
      </c>
      <c r="H17" s="30">
        <f t="shared" si="2"/>
        <v>30</v>
      </c>
      <c r="I17" s="11" t="s">
        <v>299</v>
      </c>
      <c r="J17" s="11" t="s">
        <v>293</v>
      </c>
      <c r="K17" t="s">
        <v>192</v>
      </c>
      <c r="M17">
        <v>20221112</v>
      </c>
      <c r="N17">
        <v>20221231</v>
      </c>
      <c r="O17" t="s">
        <v>319</v>
      </c>
      <c r="P17" t="s">
        <v>320</v>
      </c>
      <c r="Q17" t="s">
        <v>319</v>
      </c>
    </row>
    <row r="18" spans="1:17" x14ac:dyDescent="0.25">
      <c r="A18">
        <v>18</v>
      </c>
      <c r="B18" t="str">
        <f t="shared" si="1"/>
        <v>OFF-LINE</v>
      </c>
      <c r="C18" t="s">
        <v>321</v>
      </c>
      <c r="D18" t="s">
        <v>165</v>
      </c>
      <c r="E18" t="s">
        <v>322</v>
      </c>
      <c r="F18" t="s">
        <v>385</v>
      </c>
      <c r="G18" t="s">
        <v>323</v>
      </c>
      <c r="H18" s="30"/>
      <c r="I18" s="11"/>
      <c r="J18" s="11"/>
      <c r="L18" t="s">
        <v>286</v>
      </c>
      <c r="M18">
        <v>20220501</v>
      </c>
      <c r="N18">
        <v>20220731</v>
      </c>
      <c r="O18" t="s">
        <v>325</v>
      </c>
      <c r="P18" t="s">
        <v>326</v>
      </c>
      <c r="Q18" t="s">
        <v>325</v>
      </c>
    </row>
    <row r="19" spans="1:17" x14ac:dyDescent="0.25">
      <c r="A19">
        <v>19</v>
      </c>
      <c r="B19" t="str">
        <f t="shared" si="1"/>
        <v>OFF-LINE</v>
      </c>
      <c r="C19" t="s">
        <v>327</v>
      </c>
      <c r="D19" t="s">
        <v>250</v>
      </c>
      <c r="E19" t="s">
        <v>328</v>
      </c>
      <c r="F19" t="s">
        <v>384</v>
      </c>
      <c r="G19" t="s">
        <v>310</v>
      </c>
      <c r="H19" s="30">
        <f t="shared" si="2"/>
        <v>0</v>
      </c>
      <c r="I19" s="11" t="s">
        <v>277</v>
      </c>
      <c r="J19" s="11" t="s">
        <v>277</v>
      </c>
      <c r="L19" t="s">
        <v>286</v>
      </c>
      <c r="M19">
        <v>20230101</v>
      </c>
      <c r="N19">
        <v>20230131</v>
      </c>
      <c r="O19" t="s">
        <v>313</v>
      </c>
      <c r="P19" t="s">
        <v>329</v>
      </c>
      <c r="Q19" t="s">
        <v>313</v>
      </c>
    </row>
    <row r="20" spans="1:17" x14ac:dyDescent="0.25">
      <c r="A20">
        <v>20</v>
      </c>
      <c r="B20" t="str">
        <f t="shared" si="1"/>
        <v>OFF-LINE</v>
      </c>
      <c r="C20" s="19" t="s">
        <v>302</v>
      </c>
      <c r="D20" t="s">
        <v>165</v>
      </c>
      <c r="E20" t="s">
        <v>417</v>
      </c>
      <c r="F20" t="s">
        <v>418</v>
      </c>
      <c r="G20" t="s">
        <v>419</v>
      </c>
      <c r="H20" s="30">
        <f t="shared" si="2"/>
        <v>25</v>
      </c>
      <c r="I20" s="11" t="s">
        <v>270</v>
      </c>
      <c r="J20" s="11" t="s">
        <v>243</v>
      </c>
      <c r="L20" t="s">
        <v>286</v>
      </c>
      <c r="M20">
        <v>20221115</v>
      </c>
      <c r="N20">
        <v>20221231</v>
      </c>
      <c r="O20" t="s">
        <v>420</v>
      </c>
      <c r="P20" t="s">
        <v>421</v>
      </c>
      <c r="Q20" t="s">
        <v>420</v>
      </c>
    </row>
    <row r="21" spans="1:17" x14ac:dyDescent="0.25">
      <c r="A21">
        <v>21</v>
      </c>
      <c r="B21" t="str">
        <f t="shared" si="1"/>
        <v>ON-LINE</v>
      </c>
      <c r="C21" t="s">
        <v>335</v>
      </c>
      <c r="D21" t="s">
        <v>165</v>
      </c>
      <c r="E21" t="s">
        <v>331</v>
      </c>
      <c r="F21" t="s">
        <v>408</v>
      </c>
      <c r="G21" t="s">
        <v>332</v>
      </c>
      <c r="H21" s="30">
        <f t="shared" si="2"/>
        <v>20</v>
      </c>
      <c r="I21" s="11" t="s">
        <v>333</v>
      </c>
      <c r="J21" s="11" t="s">
        <v>243</v>
      </c>
      <c r="L21" t="s">
        <v>286</v>
      </c>
      <c r="M21">
        <v>20230101</v>
      </c>
      <c r="N21">
        <v>20230228</v>
      </c>
      <c r="O21" s="5" t="s">
        <v>247</v>
      </c>
      <c r="P21" t="s">
        <v>334</v>
      </c>
      <c r="Q21" t="s">
        <v>247</v>
      </c>
    </row>
    <row r="22" spans="1:17" x14ac:dyDescent="0.25">
      <c r="I22" s="18"/>
      <c r="J22" s="18"/>
    </row>
    <row r="23" spans="1:17" x14ac:dyDescent="0.25">
      <c r="C23" s="16"/>
      <c r="I23" s="18"/>
      <c r="J23" s="18"/>
    </row>
    <row r="24" spans="1:17" x14ac:dyDescent="0.25">
      <c r="H24" s="30"/>
      <c r="I24" s="18"/>
      <c r="J24" s="18"/>
    </row>
    <row r="25" spans="1:17" x14ac:dyDescent="0.25">
      <c r="C25" s="16"/>
      <c r="I25" s="18"/>
      <c r="J25" s="18"/>
    </row>
    <row r="26" spans="1:17" x14ac:dyDescent="0.25">
      <c r="I26" s="18"/>
      <c r="J26" s="18"/>
    </row>
    <row r="27" spans="1:17" x14ac:dyDescent="0.25">
      <c r="I27" s="18"/>
      <c r="J27" s="18"/>
    </row>
    <row r="28" spans="1:17" x14ac:dyDescent="0.25">
      <c r="C28" s="16"/>
      <c r="F28" s="5"/>
      <c r="I28" s="18"/>
      <c r="J28" s="18"/>
    </row>
    <row r="29" spans="1:17" x14ac:dyDescent="0.25">
      <c r="I29" s="18"/>
      <c r="J29" s="18"/>
    </row>
    <row r="30" spans="1:17" x14ac:dyDescent="0.25">
      <c r="F30" s="5"/>
      <c r="I30" s="18"/>
      <c r="J30" s="18"/>
    </row>
    <row r="31" spans="1:17" x14ac:dyDescent="0.25">
      <c r="C31" s="16"/>
      <c r="I31" s="18"/>
      <c r="J31" s="18"/>
    </row>
    <row r="33" spans="3:3" x14ac:dyDescent="0.25">
      <c r="C33" s="16"/>
    </row>
    <row r="36" spans="3:3" x14ac:dyDescent="0.25">
      <c r="C36" s="16"/>
    </row>
  </sheetData>
  <autoFilter ref="A7:Q21" xr:uid="{CDED76B5-ABE9-4AE6-A7F0-08CF7FAB6CA8}"/>
  <mergeCells count="3">
    <mergeCell ref="O6:Q6"/>
    <mergeCell ref="O2:Q2"/>
    <mergeCell ref="C1:Q1"/>
  </mergeCells>
  <conditionalFormatting sqref="B8:B21">
    <cfRule type="containsText" dxfId="11" priority="8" operator="containsText" text="ON">
      <formula>NOT(ISERROR(SEARCH("ON",B8)))</formula>
    </cfRule>
  </conditionalFormatting>
  <conditionalFormatting sqref="E8:E25">
    <cfRule type="duplicateValues" dxfId="10" priority="7"/>
  </conditionalFormatting>
  <conditionalFormatting sqref="E4">
    <cfRule type="duplicateValues" dxfId="9" priority="1"/>
  </conditionalFormatting>
  <hyperlinks>
    <hyperlink ref="O8" r:id="rId1" display="https://planoscelular.claro.com.br/claro/pt/offer-plan/externalUri?offerPlanId=22382&amp;coupon=0eb99cf99f9dae612a0111d930483b79&amp;msisdn=msisdn&amp;targetCampaign=migra&amp;paymentMethod=debitcard&amp;loyalty=true&amp;invoiceType=DIGITAL&amp;processType=MIGRATE&amp;utm_source=minhaclaro-deckvendas_app&amp;utm_medium=controle-clientepre-oferta&amp;utm_campaign=gatilhomudecontrole100gb_bf" xr:uid="{AB37D7AE-6268-4571-B409-C36A4E363EBC}"/>
    <hyperlink ref="P8" r:id="rId2" display="https://planoscelular.claro.com.br/claro/pt/offer-plan/externalUri?offerPlanId=22382&amp;coupon=0eb99cf99f9dae612a0111d930483b79&amp;msisdn=msisdn&amp;targetCampaign=migra&amp;paymentMethod=debitcard&amp;loyalty=true&amp;invoiceType=DIGITAL&amp;processType=MIGRATE&amp;utm_source=minhaclaro-deckvendas_web&amp;utm_medium=controle-clientepre-oferta&amp;utm_campaign=gatilhomudecontrole100gb_bf" xr:uid="{895DD07B-C4C1-45EE-A06B-D3F4240B3720}"/>
    <hyperlink ref="Q8" r:id="rId3" display="https://planoscelular.claro.com.br/claro/pt/offer-plan/externalUri?offerPlanId=22382&amp;coupon=0eb99cf99f9dae612a0111d930483b79&amp;msisdn=msisdn&amp;targetCampaign=migra&amp;paymentMethod=debitcard&amp;loyalty=true&amp;invoiceType=DIGITAL&amp;processType=MIGRATE&amp;utm_source=minhaclaro-deckvendas_app&amp;utm_medium=controle-clientepre-oferta&amp;utm_campaign=gatilhomudecontrole100gb_bf" xr:uid="{C5102F2E-0F38-43EA-9FFB-E986229745B0}"/>
    <hyperlink ref="Q12" r:id="rId4" display="https://planoscelular.claro.com.br/claro/pt/offer-plan/externalUri?offerPlanId=22283&amp;coupon=87a9d19a41a024ec0bd50f29e7f375ca2b92a36da9f0070651ed982e59fd8f1b&amp;msisdn=msisdn&amp;targetCampaign=migra&amp;paymentMethod=debitcard&amp;loyalty=true&amp;invoiceType=DIGITAL&amp;processType=MIGRATE&amp;utm_source=minhaclaro-deckvendas_app&amp;utm_medium=plpcontrole-clientepre&amp;utm_campaign=gatilhomudeparacontrole_15GB" xr:uid="{1F8CD795-8DD6-47B7-B093-13E88A6F9FAA}"/>
    <hyperlink ref="O12" r:id="rId5" display="https://planoscelular.claro.com.br/claro/pt/offer-plan/externalUri?offerPlanId=22283&amp;coupon=87a9d19a41a024ec0bd50f29e7f375ca2b92a36da9f0070651ed982e59fd8f1b&amp;msisdn=msisdn&amp;targetCampaign=migra&amp;paymentMethod=debitcard&amp;loyalty=true&amp;invoiceType=DIGITAL&amp;processType=MIGRATE&amp;utm_source=minhaclaro-deckvendas_app&amp;utm_medium=plpcontrole-clientepre&amp;utm_campaign=gatilhomudeparacontrole_15GB" xr:uid="{CF18C498-951C-4360-9DAF-0A8B7A958C90}"/>
    <hyperlink ref="P12" r:id="rId6" display="https://planoscelular.claro.com.br/claro/pt/offer-plan/externalUri?offerPlanId=22283&amp;coupon=87a9d19a41a024ec0bd50f29e7f375ca2b92a36da9f0070651ed982e59fd8f1b&amp;msisdn=msisdn&amp;targetCampaign=migra&amp;paymentMethod=debitcard&amp;loyalty=true&amp;invoiceType=DIGITAL&amp;processType=MIGRATE&amp;utm_source=minhaclaro-deckvendas_web&amp;utm_medium=plpcontrole-clientepre&amp;utm_campaign=gatilhomudeparacontrole_15GB" xr:uid="{82250DDC-BE7A-49DA-8713-9713908EF728}"/>
    <hyperlink ref="O9" r:id="rId7" display="https://planoscelular.claro.com.br/claro/pt/offer-plan/externalUri?offerPlanId=22382&amp;coupon=51c9f3bbefda4a4fa7be62f9a041b38a&amp;msisdn=msisdn&amp;targetCampaign=migra&amp;paymentMethod=debitcard&amp;loyalty=true&amp;invoiceType=DIGITAL&amp;processType=MIGRATE&amp;utm_source=minhaclaro-deckvendas_app&amp;utm_medium=pos-clientecontrole-oferta&amp;utm_campaign=gatilhomudepos50gb" xr:uid="{2AAD24FA-3061-4F7F-AF38-F436F2F5262C}"/>
    <hyperlink ref="Q9" r:id="rId8" display="https://planoscelular.claro.com.br/claro/pt/offer-plan/externalUri?offerPlanId=22382&amp;coupon=51c9f3bbefda4a4fa7be62f9a041b38a&amp;msisdn=msisdn&amp;targetCampaign=migra&amp;paymentMethod=debitcard&amp;loyalty=true&amp;invoiceType=DIGITAL&amp;processType=MIGRATE&amp;utm_source=minhaclaro-deckvendas_app&amp;utm_medium=pos-clientecontrole-oferta&amp;utm_campaign=gatilhomudepos50gb" xr:uid="{D4A8DF40-4188-4C15-BAF4-34D2A7013770}"/>
    <hyperlink ref="O21" r:id="rId9" display="https://planoscelular.claro.com.br/claro/pt/offer-plan/externalUri?offerPlanId=22265&amp;coupon=d1470da5f09a01518437d96a42e8622ef56f9cdabde722930f045a1b2078a618&amp;msisdn=msisdn&amp;targetCampaign=migra&amp;paymentMethod=debitcard&amp;loyalty=true&amp;invoiceType=DIGITAL&amp;processType=MIGRATE&amp;utm_source=minhaclaro-deckvendas_app&amp;utm_medium=controle-clientepre-oferta&amp;utm_campaign=gatilhomudecontrole30gb" xr:uid="{5A614D8A-F416-4E32-8AF7-BB52FBE99676}"/>
    <hyperlink ref="O4" r:id="rId10" display="https://planoscelular.claro.com.br/claro/pt/offer-plan/externalUri?offerPlanId=22265&amp;coupon=d1470da5f09a01518437d96a42e8622ef56f9cdabde722930f045a1b2078a618&amp;msisdn=msisdn&amp;targetCampaign=migra&amp;paymentMethod=debitcard&amp;loyalty=true&amp;invoiceType=DIGITAL&amp;processType=MIGRATE&amp;utm_source=minhaclaro-deckvendas_app&amp;utm_medium=controle-clientepre-oferta&amp;utm_campaign=gatilhomudecontrole30gb" xr:uid="{E9BCF1EE-854A-4F0B-9A14-5FFF845BA696}"/>
  </hyperlinks>
  <pageMargins left="0.511811024" right="0.511811024" top="0.78740157499999996" bottom="0.78740157499999996" header="0.31496062000000002" footer="0.31496062000000002"/>
  <pageSetup paperSize="9" orientation="portrait" horizontalDpi="300" verticalDpi="300" r:id="rId11"/>
  <drawing r:id="rId12"/>
  <legacyDrawing r:id="rId1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98" r:id="rId14" name="Button 18">
              <controlPr defaultSize="0" print="0" autoFill="0" autoPict="0" macro="[0]!CopiarIntervaloOFERTAS_EXCLUSIVAS">
                <anchor moveWithCells="1" sizeWithCells="1">
                  <from>
                    <xdr:col>0</xdr:col>
                    <xdr:colOff>238125</xdr:colOff>
                    <xdr:row>1</xdr:row>
                    <xdr:rowOff>9525</xdr:rowOff>
                  </from>
                  <to>
                    <xdr:col>2</xdr:col>
                    <xdr:colOff>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809A8-B013-491D-86FD-72BAD28939E2}">
  <sheetPr codeName="Planilha7"/>
  <dimension ref="A1:D46"/>
  <sheetViews>
    <sheetView workbookViewId="0">
      <selection activeCell="D9" sqref="D9"/>
    </sheetView>
  </sheetViews>
  <sheetFormatPr defaultRowHeight="15" x14ac:dyDescent="0.25"/>
  <cols>
    <col min="1" max="1" width="32.42578125" customWidth="1"/>
    <col min="2" max="2" width="47" customWidth="1"/>
  </cols>
  <sheetData>
    <row r="1" spans="1:4" x14ac:dyDescent="0.25">
      <c r="A1" t="s">
        <v>158</v>
      </c>
      <c r="D1" t="str">
        <f>A1</f>
        <v>{</v>
      </c>
    </row>
    <row r="2" spans="1:4" x14ac:dyDescent="0.25">
      <c r="A2" t="s">
        <v>160</v>
      </c>
      <c r="B2" t="str">
        <f>'OFERTAS EXCLUSIVAS'!C4</f>
        <v>961a5c3a-9b8e-487a-85ec-7389d9734d8a</v>
      </c>
      <c r="C2" t="s">
        <v>161</v>
      </c>
      <c r="D2" t="str">
        <f t="shared" ref="D2:D12" si="0">A2&amp;B2&amp;C2</f>
        <v xml:space="preserve"> "idcampanha":"961a5c3a-9b8e-487a-85ec-7389d9734d8a",</v>
      </c>
    </row>
    <row r="3" spans="1:4" x14ac:dyDescent="0.25">
      <c r="A3" t="s">
        <v>164</v>
      </c>
      <c r="B3" t="str">
        <f>'OFERTAS EXCLUSIVAS'!D4</f>
        <v>true</v>
      </c>
      <c r="C3" t="s">
        <v>166</v>
      </c>
      <c r="D3" t="str">
        <f t="shared" si="0"/>
        <v xml:space="preserve"> "ativo":true,</v>
      </c>
    </row>
    <row r="4" spans="1:4" x14ac:dyDescent="0.25">
      <c r="A4" t="s">
        <v>168</v>
      </c>
      <c r="B4" t="str">
        <f>'OFERTAS EXCLUSIVAS'!E4</f>
        <v>AMX144424</v>
      </c>
      <c r="C4" t="s">
        <v>161</v>
      </c>
      <c r="D4" t="str">
        <f t="shared" si="0"/>
        <v xml:space="preserve"> "codCampanha":"AMX144424",</v>
      </c>
    </row>
    <row r="5" spans="1:4" x14ac:dyDescent="0.25">
      <c r="A5" t="s">
        <v>396</v>
      </c>
      <c r="B5">
        <f>'OFERTAS EXCLUSIVAS'!M4</f>
        <v>20230101</v>
      </c>
      <c r="C5" t="s">
        <v>161</v>
      </c>
      <c r="D5" t="str">
        <f t="shared" si="0"/>
        <v xml:space="preserve"> "dtVigenciaIni": "20230101",</v>
      </c>
    </row>
    <row r="6" spans="1:4" x14ac:dyDescent="0.25">
      <c r="A6" t="s">
        <v>397</v>
      </c>
      <c r="B6">
        <f>'OFERTAS EXCLUSIVAS'!N4</f>
        <v>20230228</v>
      </c>
      <c r="C6" t="s">
        <v>161</v>
      </c>
      <c r="D6" t="str">
        <f t="shared" si="0"/>
        <v xml:space="preserve"> "dtVigenciaFim": "20230228",</v>
      </c>
    </row>
    <row r="7" spans="1:4" x14ac:dyDescent="0.25">
      <c r="A7" t="s">
        <v>191</v>
      </c>
      <c r="B7" t="str">
        <f>IF('OFERTAS EXCLUSIVAS'!K4="","",'OFERTAS EXCLUSIVAS'!K4)</f>
        <v/>
      </c>
      <c r="C7" t="s">
        <v>161</v>
      </c>
      <c r="D7" t="str">
        <f t="shared" si="0"/>
        <v xml:space="preserve"> "segmento":"",</v>
      </c>
    </row>
    <row r="8" spans="1:4" x14ac:dyDescent="0.25">
      <c r="A8" t="s">
        <v>398</v>
      </c>
      <c r="B8" t="str">
        <f>IF('OFERTAS EXCLUSIVAS'!L4="","",'OFERTAS EXCLUSIVAS'!L4)</f>
        <v>mailing</v>
      </c>
      <c r="C8" t="s">
        <v>161</v>
      </c>
      <c r="D8" t="str">
        <f t="shared" si="0"/>
        <v xml:space="preserve"> "metodo": "mailing",</v>
      </c>
    </row>
    <row r="9" spans="1:4" x14ac:dyDescent="0.25">
      <c r="A9" t="s">
        <v>195</v>
      </c>
      <c r="B9" t="str">
        <f>'OFERTAS EXCLUSIVAS'!F4</f>
        <v>Controle 30GB</v>
      </c>
      <c r="C9" t="s">
        <v>161</v>
      </c>
      <c r="D9" t="str">
        <f t="shared" si="0"/>
        <v xml:space="preserve"> "nome": "Controle 30GB",</v>
      </c>
    </row>
    <row r="10" spans="1:4" x14ac:dyDescent="0.25">
      <c r="A10" t="s">
        <v>196</v>
      </c>
      <c r="B10">
        <v>1</v>
      </c>
      <c r="C10" t="s">
        <v>166</v>
      </c>
      <c r="D10" t="str">
        <f t="shared" si="0"/>
        <v xml:space="preserve"> "prioridade":1,</v>
      </c>
    </row>
    <row r="11" spans="1:4" x14ac:dyDescent="0.25">
      <c r="A11" t="s">
        <v>197</v>
      </c>
      <c r="B11" t="str">
        <f>'OFERTAS EXCLUSIVAS'!G4</f>
        <v>Contrate o plano Claro Controle 30GB - Oferta Exclusiva</v>
      </c>
      <c r="C11" t="s">
        <v>161</v>
      </c>
      <c r="D11" t="str">
        <f t="shared" si="0"/>
        <v xml:space="preserve"> "textoPrincipal": "Contrate o plano Claro Controle 30GB - Oferta Exclusiva",</v>
      </c>
    </row>
    <row r="12" spans="1:4" x14ac:dyDescent="0.25">
      <c r="A12" t="s">
        <v>199</v>
      </c>
      <c r="B12" t="s">
        <v>401</v>
      </c>
      <c r="C12" t="s">
        <v>161</v>
      </c>
      <c r="D12" t="str">
        <f t="shared" si="0"/>
        <v xml:space="preserve"> "tipo": "salesdeck",</v>
      </c>
    </row>
    <row r="13" spans="1:4" x14ac:dyDescent="0.25">
      <c r="A13" t="s">
        <v>170</v>
      </c>
      <c r="D13" t="str">
        <f>A13&amp;A14&amp;B14&amp;C14&amp;A15&amp;B15&amp;C15&amp;A16&amp;B16&amp;C16&amp;A17</f>
        <v xml:space="preserve"> "defaultMetaData": "{  \"DESCONTO_PERCENTUAL\": \"20\", \"VALOR_PLANO_CHEIO\": \"74,90\", \"VALOR_PLANO_DESCONTO\": \"59,90\"}",</v>
      </c>
    </row>
    <row r="14" spans="1:4" x14ac:dyDescent="0.25">
      <c r="A14" t="s">
        <v>403</v>
      </c>
      <c r="B14">
        <f>'OFERTAS EXCLUSIVAS'!H4</f>
        <v>20</v>
      </c>
      <c r="C14" t="s">
        <v>163</v>
      </c>
      <c r="D14" t="str">
        <f>A18&amp;A19&amp;B19&amp;C19&amp;A20&amp;B20&amp;C20&amp;A21&amp;B21&amp;C21&amp;A22</f>
        <v xml:space="preserve"> "defaultUrlRedirect": "{ \"default\": \"https://planoscelular.claro.com.br/claro/pt/offer-plan/externalUri?offerPlanId=22265&amp;coupon=d1470da5f09a01518437d96a42e8622ef56f9cdabde722930f045a1b2078a618&amp;msisdn=msisdn&amp;targetCampaign=migra&amp;paymentMethod=debitcard&amp;loyalty=true&amp;invoiceType=DIGITAL&amp;processType=MIGRATE&amp;utm_source=minhaclaro-deckvendas_app&amp;utm_medium=controle-clientepre-oferta&amp;utm_campaign=gatilhomudecontrole30gb\", \"MCLA\": \"https://planoscelular.claro.com.br/claro/pt/offer-plan/externalUri?offerPlanId=22265&amp;coupon=d1470da5f09a01518437d96a42e8622ef56f9cdabde722930f045a1b2078a618&amp;msisdn=msisdn&amp;targetCampaign=migra&amp;paymentMethod=debitcard&amp;loyalty=true&amp;invoiceType=DIGITAL&amp;processType=MIGRATE&amp;utm_source=minhaclaro-deckvendas_web&amp;utm_medium=controle-clientepre-oferta&amp;utm_campaign=gatilhomudecontrole30gb\", \"MCAP\": \"https://planoscelular.claro.com.br/claro/pt/offer-plan/externalUri?offerPlanId=22265&amp;coupon=d1470da5f09a01518437d96a42e8622ef56f9cdabde722930f045a1b2078a618&amp;msisdn=msisdn&amp;targetCampaign=migra&amp;paymentMethod=debitcard&amp;loyalty=true&amp;invoiceType=DIGITAL&amp;processType=MIGRATE&amp;utm_source=minhaclaro-deckvendas_app&amp;utm_medium=controle-clientepre-oferta&amp;utm_campaign=gatilhomudecontrole30gb\"}"</v>
      </c>
    </row>
    <row r="15" spans="1:4" x14ac:dyDescent="0.25">
      <c r="A15" t="s">
        <v>404</v>
      </c>
      <c r="B15" s="18" t="str">
        <f>'OFERTAS EXCLUSIVAS'!I4</f>
        <v>74,90</v>
      </c>
      <c r="C15" t="s">
        <v>163</v>
      </c>
      <c r="D15" t="str">
        <f>A23</f>
        <v>},</v>
      </c>
    </row>
    <row r="16" spans="1:4" x14ac:dyDescent="0.25">
      <c r="A16" t="s">
        <v>405</v>
      </c>
      <c r="B16" s="18" t="str">
        <f>'OFERTAS EXCLUSIVAS'!J4</f>
        <v>59,90</v>
      </c>
      <c r="C16" t="s">
        <v>183</v>
      </c>
    </row>
    <row r="17" spans="1:3" x14ac:dyDescent="0.25">
      <c r="A17" t="s">
        <v>184</v>
      </c>
    </row>
    <row r="18" spans="1:3" x14ac:dyDescent="0.25">
      <c r="A18" t="s">
        <v>185</v>
      </c>
    </row>
    <row r="19" spans="1:3" x14ac:dyDescent="0.25">
      <c r="A19" t="s">
        <v>186</v>
      </c>
      <c r="B19" t="str">
        <f>'OFERTAS EXCLUSIVAS'!O4</f>
        <v>https://planoscelular.claro.com.br/claro/pt/offer-plan/externalUri?offerPlanId=22265&amp;coupon=d1470da5f09a01518437d96a42e8622ef56f9cdabde722930f045a1b2078a618&amp;msisdn=msisdn&amp;targetCampaign=migra&amp;paymentMethod=debitcard&amp;loyalty=true&amp;invoiceType=DIGITAL&amp;processType=MIGRATE&amp;utm_source=minhaclaro-deckvendas_app&amp;utm_medium=controle-clientepre-oferta&amp;utm_campaign=gatilhomudecontrole30gb</v>
      </c>
      <c r="C19" t="s">
        <v>163</v>
      </c>
    </row>
    <row r="20" spans="1:3" x14ac:dyDescent="0.25">
      <c r="A20" t="s">
        <v>187</v>
      </c>
      <c r="B20" t="str">
        <f>'OFERTAS EXCLUSIVAS'!P4</f>
        <v>https://planoscelular.claro.com.br/claro/pt/offer-plan/externalUri?offerPlanId=22265&amp;coupon=d1470da5f09a01518437d96a42e8622ef56f9cdabde722930f045a1b2078a618&amp;msisdn=msisdn&amp;targetCampaign=migra&amp;paymentMethod=debitcard&amp;loyalty=true&amp;invoiceType=DIGITAL&amp;processType=MIGRATE&amp;utm_source=minhaclaro-deckvendas_web&amp;utm_medium=controle-clientepre-oferta&amp;utm_campaign=gatilhomudecontrole30gb</v>
      </c>
      <c r="C20" t="s">
        <v>163</v>
      </c>
    </row>
    <row r="21" spans="1:3" x14ac:dyDescent="0.25">
      <c r="A21" t="s">
        <v>188</v>
      </c>
      <c r="B21" t="str">
        <f>'OFERTAS EXCLUSIVAS'!Q4</f>
        <v>https://planoscelular.claro.com.br/claro/pt/offer-plan/externalUri?offerPlanId=22265&amp;coupon=d1470da5f09a01518437d96a42e8622ef56f9cdabde722930f045a1b2078a618&amp;msisdn=msisdn&amp;targetCampaign=migra&amp;paymentMethod=debitcard&amp;loyalty=true&amp;invoiceType=DIGITAL&amp;processType=MIGRATE&amp;utm_source=minhaclaro-deckvendas_app&amp;utm_medium=controle-clientepre-oferta&amp;utm_campaign=gatilhomudecontrole30gb</v>
      </c>
      <c r="C21" t="s">
        <v>183</v>
      </c>
    </row>
    <row r="22" spans="1:3" x14ac:dyDescent="0.25">
      <c r="A22" t="s">
        <v>402</v>
      </c>
    </row>
    <row r="23" spans="1:3" x14ac:dyDescent="0.25">
      <c r="A23" t="s">
        <v>202</v>
      </c>
    </row>
    <row r="25" spans="1:3" x14ac:dyDescent="0.25">
      <c r="A25" t="s">
        <v>158</v>
      </c>
    </row>
    <row r="26" spans="1:3" x14ac:dyDescent="0.25">
      <c r="A26" t="s">
        <v>422</v>
      </c>
    </row>
    <row r="27" spans="1:3" x14ac:dyDescent="0.25">
      <c r="A27" t="s">
        <v>423</v>
      </c>
    </row>
    <row r="28" spans="1:3" x14ac:dyDescent="0.25">
      <c r="A28" t="s">
        <v>424</v>
      </c>
    </row>
    <row r="29" spans="1:3" x14ac:dyDescent="0.25">
      <c r="A29" t="s">
        <v>425</v>
      </c>
    </row>
    <row r="31" spans="1:3" x14ac:dyDescent="0.25">
      <c r="A31" t="s">
        <v>426</v>
      </c>
    </row>
    <row r="32" spans="1:3" x14ac:dyDescent="0.25">
      <c r="A32" t="s">
        <v>427</v>
      </c>
    </row>
    <row r="33" spans="1:1" x14ac:dyDescent="0.25">
      <c r="A33" t="s">
        <v>428</v>
      </c>
    </row>
    <row r="34" spans="1:1" x14ac:dyDescent="0.25">
      <c r="A34" t="s">
        <v>429</v>
      </c>
    </row>
    <row r="35" spans="1:1" x14ac:dyDescent="0.25">
      <c r="A35" t="s">
        <v>430</v>
      </c>
    </row>
    <row r="36" spans="1:1" x14ac:dyDescent="0.25">
      <c r="A36" t="s">
        <v>431</v>
      </c>
    </row>
    <row r="37" spans="1:1" x14ac:dyDescent="0.25">
      <c r="A37" t="s">
        <v>432</v>
      </c>
    </row>
    <row r="38" spans="1:1" x14ac:dyDescent="0.25">
      <c r="A38" t="s">
        <v>433</v>
      </c>
    </row>
    <row r="39" spans="1:1" x14ac:dyDescent="0.25">
      <c r="A39" t="s">
        <v>434</v>
      </c>
    </row>
    <row r="40" spans="1:1" x14ac:dyDescent="0.25">
      <c r="A40" t="s">
        <v>435</v>
      </c>
    </row>
    <row r="41" spans="1:1" x14ac:dyDescent="0.25">
      <c r="A41" t="s">
        <v>436</v>
      </c>
    </row>
    <row r="42" spans="1:1" x14ac:dyDescent="0.25">
      <c r="A42" t="s">
        <v>437</v>
      </c>
    </row>
    <row r="43" spans="1:1" x14ac:dyDescent="0.25">
      <c r="A43" t="s">
        <v>438</v>
      </c>
    </row>
    <row r="44" spans="1:1" x14ac:dyDescent="0.25">
      <c r="A44" t="s">
        <v>214</v>
      </c>
    </row>
    <row r="45" spans="1:1" x14ac:dyDescent="0.25">
      <c r="A45" t="s">
        <v>439</v>
      </c>
    </row>
    <row r="46" spans="1:1" x14ac:dyDescent="0.25">
      <c r="A46" t="s">
        <v>440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11105-FFCD-475B-975A-FCDA738FFEFD}">
  <sheetPr codeName="Planilha4"/>
  <dimension ref="B2:R27"/>
  <sheetViews>
    <sheetView workbookViewId="0">
      <selection activeCell="D4" sqref="D4:R4"/>
    </sheetView>
  </sheetViews>
  <sheetFormatPr defaultRowHeight="15.75" customHeight="1" x14ac:dyDescent="0.25"/>
  <cols>
    <col min="1" max="1" width="3.140625" customWidth="1"/>
    <col min="2" max="2" width="10" customWidth="1"/>
    <col min="3" max="3" width="17.85546875" customWidth="1"/>
    <col min="5" max="5" width="37.42578125" bestFit="1" customWidth="1"/>
    <col min="6" max="6" width="38" bestFit="1" customWidth="1"/>
    <col min="7" max="7" width="13.140625" customWidth="1"/>
    <col min="8" max="8" width="30.28515625" bestFit="1" customWidth="1"/>
    <col min="9" max="9" width="24.42578125" customWidth="1"/>
    <col min="10" max="10" width="8.7109375" bestFit="1" customWidth="1"/>
    <col min="11" max="11" width="13.7109375" bestFit="1" customWidth="1"/>
    <col min="12" max="12" width="10.140625" bestFit="1" customWidth="1"/>
    <col min="14" max="14" width="12" customWidth="1"/>
    <col min="15" max="15" width="8.28515625" customWidth="1"/>
    <col min="16" max="16" width="71.140625" customWidth="1"/>
    <col min="17" max="17" width="11.5703125" customWidth="1"/>
  </cols>
  <sheetData>
    <row r="2" spans="2:18" ht="15.75" customHeight="1" x14ac:dyDescent="0.25">
      <c r="D2" t="s">
        <v>0</v>
      </c>
      <c r="E2" t="s">
        <v>1</v>
      </c>
      <c r="F2" t="s">
        <v>441</v>
      </c>
      <c r="G2" t="s">
        <v>4</v>
      </c>
      <c r="H2" t="s">
        <v>5</v>
      </c>
      <c r="I2" t="s">
        <v>6</v>
      </c>
      <c r="J2" s="15" t="s">
        <v>8</v>
      </c>
      <c r="K2" s="13" t="s">
        <v>9</v>
      </c>
      <c r="L2" s="13" t="s">
        <v>10</v>
      </c>
      <c r="M2" s="14" t="s">
        <v>9</v>
      </c>
      <c r="N2" s="14" t="s">
        <v>10</v>
      </c>
      <c r="O2" t="s">
        <v>11</v>
      </c>
      <c r="P2" t="s">
        <v>12</v>
      </c>
      <c r="Q2" t="s">
        <v>17</v>
      </c>
      <c r="R2" t="s">
        <v>442</v>
      </c>
    </row>
    <row r="4" spans="2:18" ht="15.75" customHeight="1" x14ac:dyDescent="0.25">
      <c r="B4">
        <v>7</v>
      </c>
      <c r="D4">
        <v>2</v>
      </c>
      <c r="E4" t="s">
        <v>443</v>
      </c>
      <c r="F4" t="s">
        <v>444</v>
      </c>
      <c r="G4" t="s">
        <v>24</v>
      </c>
      <c r="H4" t="s">
        <v>48</v>
      </c>
      <c r="I4" t="str">
        <f>SUBSTITUTE(UPPER(H4)," ","")</f>
        <v>GALAXYA13128GB</v>
      </c>
      <c r="J4" s="11" t="s">
        <v>49</v>
      </c>
      <c r="K4" t="s">
        <v>27</v>
      </c>
      <c r="L4" s="11" t="s">
        <v>50</v>
      </c>
      <c r="M4" t="s">
        <v>29</v>
      </c>
      <c r="N4" s="11" t="s">
        <v>51</v>
      </c>
      <c r="O4">
        <v>24</v>
      </c>
      <c r="P4" t="s">
        <v>53</v>
      </c>
      <c r="Q4" s="5" t="s">
        <v>54</v>
      </c>
      <c r="R4" t="s">
        <v>55</v>
      </c>
    </row>
    <row r="6" spans="2:18" ht="15.75" customHeight="1" x14ac:dyDescent="0.25">
      <c r="C6">
        <v>6</v>
      </c>
      <c r="D6">
        <v>1</v>
      </c>
      <c r="E6" s="36" t="s">
        <v>445</v>
      </c>
      <c r="F6" s="36" t="s">
        <v>446</v>
      </c>
      <c r="G6" t="s">
        <v>24</v>
      </c>
      <c r="H6" t="s">
        <v>447</v>
      </c>
      <c r="I6" t="str">
        <f>SUBSTITUTE(UPPER(H6)," ","")</f>
        <v>GALAXYA235G128GB</v>
      </c>
      <c r="J6" s="11" t="s">
        <v>448</v>
      </c>
      <c r="K6" t="s">
        <v>27</v>
      </c>
      <c r="L6" s="11" t="s">
        <v>49</v>
      </c>
      <c r="M6" t="s">
        <v>29</v>
      </c>
      <c r="N6" s="11" t="s">
        <v>449</v>
      </c>
      <c r="O6">
        <v>24</v>
      </c>
      <c r="P6" s="11" t="s">
        <v>450</v>
      </c>
      <c r="Q6" t="s">
        <v>451</v>
      </c>
      <c r="R6" t="s">
        <v>452</v>
      </c>
    </row>
    <row r="7" spans="2:18" ht="15.75" customHeight="1" x14ac:dyDescent="0.25">
      <c r="C7">
        <v>7</v>
      </c>
      <c r="D7">
        <v>2</v>
      </c>
      <c r="E7" t="s">
        <v>443</v>
      </c>
      <c r="F7" t="s">
        <v>444</v>
      </c>
      <c r="G7" t="s">
        <v>24</v>
      </c>
      <c r="H7" t="s">
        <v>48</v>
      </c>
      <c r="I7" t="str">
        <f>SUBSTITUTE(UPPER(H7)," ","")</f>
        <v>GALAXYA13128GB</v>
      </c>
      <c r="J7" s="11" t="s">
        <v>49</v>
      </c>
      <c r="K7" t="s">
        <v>27</v>
      </c>
      <c r="L7" s="11" t="s">
        <v>50</v>
      </c>
      <c r="M7" t="s">
        <v>29</v>
      </c>
      <c r="N7" s="11" t="s">
        <v>51</v>
      </c>
      <c r="O7">
        <v>24</v>
      </c>
      <c r="P7" t="s">
        <v>53</v>
      </c>
      <c r="Q7" s="5" t="s">
        <v>54</v>
      </c>
      <c r="R7" t="s">
        <v>55</v>
      </c>
    </row>
    <row r="8" spans="2:18" ht="15.75" customHeight="1" x14ac:dyDescent="0.25">
      <c r="C8" s="34">
        <v>8</v>
      </c>
      <c r="D8">
        <v>3</v>
      </c>
      <c r="E8" t="s">
        <v>453</v>
      </c>
      <c r="F8" t="s">
        <v>454</v>
      </c>
      <c r="G8" t="s">
        <v>24</v>
      </c>
      <c r="H8" t="s">
        <v>455</v>
      </c>
      <c r="I8" t="str">
        <f>SUBSTITUTE(UPPER(H8)," ","")</f>
        <v>GALAXYS23ULTRA128GB</v>
      </c>
      <c r="J8" s="11" t="s">
        <v>456</v>
      </c>
      <c r="K8" t="s">
        <v>27</v>
      </c>
      <c r="L8" s="11" t="s">
        <v>457</v>
      </c>
      <c r="M8" t="s">
        <v>29</v>
      </c>
      <c r="N8" s="11" t="s">
        <v>458</v>
      </c>
      <c r="O8">
        <v>24</v>
      </c>
      <c r="P8" s="11" t="s">
        <v>459</v>
      </c>
      <c r="Q8" t="s">
        <v>460</v>
      </c>
      <c r="R8" t="s">
        <v>461</v>
      </c>
    </row>
    <row r="9" spans="2:18" ht="15.75" customHeight="1" x14ac:dyDescent="0.25">
      <c r="C9">
        <v>9</v>
      </c>
      <c r="D9">
        <v>4</v>
      </c>
      <c r="E9" s="36" t="s">
        <v>462</v>
      </c>
      <c r="F9" s="36" t="s">
        <v>463</v>
      </c>
      <c r="G9" t="s">
        <v>65</v>
      </c>
      <c r="H9" t="s">
        <v>66</v>
      </c>
      <c r="I9" t="str">
        <f>SUBSTITUTE(UPPER(H9)," ","")</f>
        <v>IPHONE14128GB</v>
      </c>
      <c r="J9" s="11" t="s">
        <v>67</v>
      </c>
      <c r="K9" t="s">
        <v>27</v>
      </c>
      <c r="L9" s="11" t="s">
        <v>68</v>
      </c>
      <c r="M9" t="s">
        <v>29</v>
      </c>
      <c r="N9" s="11" t="s">
        <v>69</v>
      </c>
      <c r="O9">
        <v>24</v>
      </c>
      <c r="P9" t="s">
        <v>71</v>
      </c>
      <c r="Q9" t="s">
        <v>464</v>
      </c>
      <c r="R9" t="s">
        <v>465</v>
      </c>
    </row>
    <row r="10" spans="2:18" ht="15.75" customHeight="1" x14ac:dyDescent="0.25">
      <c r="C10">
        <v>10</v>
      </c>
      <c r="D10">
        <v>5</v>
      </c>
      <c r="E10" t="s">
        <v>466</v>
      </c>
      <c r="F10" t="s">
        <v>467</v>
      </c>
      <c r="G10" t="s">
        <v>39</v>
      </c>
      <c r="H10" t="s">
        <v>75</v>
      </c>
      <c r="I10" t="str">
        <f>SUBSTITUTE(UPPER(H10)," ","")</f>
        <v>MOTOE2032GB</v>
      </c>
      <c r="J10" s="11" t="s">
        <v>50</v>
      </c>
      <c r="K10" t="s">
        <v>27</v>
      </c>
      <c r="L10" s="11" t="s">
        <v>76</v>
      </c>
      <c r="M10" t="s">
        <v>29</v>
      </c>
      <c r="N10" s="11" t="s">
        <v>77</v>
      </c>
      <c r="O10">
        <v>24</v>
      </c>
      <c r="P10" t="s">
        <v>78</v>
      </c>
      <c r="Q10" t="s">
        <v>79</v>
      </c>
      <c r="R10" t="s">
        <v>80</v>
      </c>
    </row>
    <row r="13" spans="2:18" ht="15.75" customHeight="1" x14ac:dyDescent="0.25">
      <c r="H13" t="s">
        <v>142</v>
      </c>
    </row>
    <row r="14" spans="2:18" ht="15.75" customHeight="1" x14ac:dyDescent="0.25">
      <c r="G14" t="s">
        <v>144</v>
      </c>
      <c r="H14" t="s">
        <v>145</v>
      </c>
    </row>
    <row r="15" spans="2:18" ht="15.75" customHeight="1" x14ac:dyDescent="0.25">
      <c r="G15" t="s">
        <v>147</v>
      </c>
      <c r="H15" t="s">
        <v>148</v>
      </c>
    </row>
    <row r="18" spans="3:14" ht="15.75" customHeight="1" x14ac:dyDescent="0.25">
      <c r="C18">
        <v>18</v>
      </c>
      <c r="E18" t="s">
        <v>445</v>
      </c>
      <c r="F18" t="s">
        <v>446</v>
      </c>
      <c r="J18" s="11"/>
      <c r="L18" s="11"/>
      <c r="N18" s="11"/>
    </row>
    <row r="19" spans="3:14" ht="15.75" customHeight="1" x14ac:dyDescent="0.25">
      <c r="C19">
        <v>19</v>
      </c>
      <c r="E19" t="s">
        <v>443</v>
      </c>
      <c r="F19" t="s">
        <v>444</v>
      </c>
      <c r="J19" s="11"/>
      <c r="L19" s="11"/>
      <c r="N19" s="11"/>
    </row>
    <row r="20" spans="3:14" ht="15.75" customHeight="1" x14ac:dyDescent="0.25">
      <c r="C20">
        <v>20</v>
      </c>
      <c r="E20" t="s">
        <v>453</v>
      </c>
      <c r="F20" t="s">
        <v>454</v>
      </c>
      <c r="J20" s="11"/>
      <c r="L20" s="11"/>
      <c r="N20" s="11"/>
    </row>
    <row r="21" spans="3:14" ht="15.75" customHeight="1" x14ac:dyDescent="0.25">
      <c r="C21">
        <v>21</v>
      </c>
      <c r="E21" t="s">
        <v>462</v>
      </c>
      <c r="F21" t="s">
        <v>463</v>
      </c>
      <c r="J21" s="11"/>
      <c r="L21" s="11"/>
      <c r="N21" s="11"/>
    </row>
    <row r="22" spans="3:14" ht="15.75" customHeight="1" x14ac:dyDescent="0.25">
      <c r="C22">
        <v>22</v>
      </c>
      <c r="E22" t="s">
        <v>466</v>
      </c>
      <c r="F22" t="s">
        <v>467</v>
      </c>
    </row>
    <row r="25" spans="3:14" ht="15.75" customHeight="1" x14ac:dyDescent="0.25">
      <c r="E25" t="s">
        <v>468</v>
      </c>
      <c r="F25" t="s">
        <v>469</v>
      </c>
      <c r="G25" t="s">
        <v>470</v>
      </c>
    </row>
    <row r="26" spans="3:14" ht="15.75" customHeight="1" x14ac:dyDescent="0.25">
      <c r="F26" t="s">
        <v>471</v>
      </c>
      <c r="G26" t="s">
        <v>250</v>
      </c>
    </row>
    <row r="27" spans="3:14" ht="15.75" customHeight="1" x14ac:dyDescent="0.25">
      <c r="F27" t="s">
        <v>470</v>
      </c>
    </row>
  </sheetData>
  <hyperlinks>
    <hyperlink ref="Q7" r:id="rId1" xr:uid="{2D3845A9-546A-467C-9708-FF78A557248C}"/>
    <hyperlink ref="Q4" r:id="rId2" xr:uid="{8A44480B-6FE5-4E04-898C-38895246AA5D}"/>
  </hyperlinks>
  <pageMargins left="0.511811024" right="0.511811024" top="0.78740157499999996" bottom="0.78740157499999996" header="0.31496062000000002" footer="0.31496062000000002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6" name="Button 1">
              <controlPr defaultSize="0" print="0" autoFill="0" autoPict="0" macro="[0]!CopiarIntervaloAPARELHOS">
                <anchor moveWithCells="1" sizeWithCells="1">
                  <from>
                    <xdr:col>2</xdr:col>
                    <xdr:colOff>0</xdr:colOff>
                    <xdr:row>2</xdr:row>
                    <xdr:rowOff>19050</xdr:rowOff>
                  </from>
                  <to>
                    <xdr:col>2</xdr:col>
                    <xdr:colOff>1143000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669A0-4377-4A1B-84DF-7F4D7836189A}">
  <sheetPr codeName="Planilha15">
    <tabColor theme="4" tint="0.39997558519241921"/>
  </sheetPr>
  <dimension ref="B2:AA61"/>
  <sheetViews>
    <sheetView zoomScale="85" zoomScaleNormal="85" workbookViewId="0">
      <selection activeCell="D4" sqref="D4:AA4"/>
    </sheetView>
  </sheetViews>
  <sheetFormatPr defaultRowHeight="15.75" customHeight="1" x14ac:dyDescent="0.25"/>
  <cols>
    <col min="1" max="1" width="3.140625" customWidth="1"/>
    <col min="2" max="2" width="10" customWidth="1"/>
    <col min="3" max="3" width="12.28515625" customWidth="1"/>
    <col min="5" max="5" width="37.42578125" bestFit="1" customWidth="1"/>
    <col min="6" max="6" width="38" bestFit="1" customWidth="1"/>
    <col min="7" max="7" width="37.28515625" customWidth="1"/>
    <col min="8" max="8" width="13.140625" customWidth="1"/>
    <col min="9" max="9" width="30.28515625" bestFit="1" customWidth="1"/>
    <col min="10" max="10" width="24.42578125" customWidth="1"/>
    <col min="11" max="11" width="8.7109375" bestFit="1" customWidth="1"/>
    <col min="12" max="12" width="13.7109375" bestFit="1" customWidth="1"/>
    <col min="13" max="13" width="10.140625" bestFit="1" customWidth="1"/>
    <col min="15" max="17" width="12" customWidth="1"/>
    <col min="18" max="18" width="6.140625" customWidth="1"/>
    <col min="19" max="19" width="65.85546875" customWidth="1"/>
    <col min="20" max="21" width="21.5703125" customWidth="1"/>
    <col min="22" max="22" width="28.28515625" customWidth="1"/>
    <col min="23" max="23" width="21.5703125" customWidth="1"/>
    <col min="24" max="24" width="22.5703125" customWidth="1"/>
    <col min="25" max="25" width="11.5703125" customWidth="1"/>
  </cols>
  <sheetData>
    <row r="2" spans="2:27" ht="15.75" customHeight="1" x14ac:dyDescent="0.25">
      <c r="D2" s="23" t="s">
        <v>0</v>
      </c>
      <c r="E2" s="23" t="s">
        <v>1</v>
      </c>
      <c r="F2" s="23" t="s">
        <v>2</v>
      </c>
      <c r="G2" s="23" t="s">
        <v>3</v>
      </c>
      <c r="H2" s="23" t="s">
        <v>4</v>
      </c>
      <c r="I2" s="23" t="s">
        <v>5</v>
      </c>
      <c r="J2" s="23" t="s">
        <v>6</v>
      </c>
      <c r="K2" s="15" t="s">
        <v>8</v>
      </c>
      <c r="L2" s="13" t="s">
        <v>9</v>
      </c>
      <c r="M2" s="13" t="s">
        <v>10</v>
      </c>
      <c r="N2" s="14" t="s">
        <v>9</v>
      </c>
      <c r="O2" s="14" t="s">
        <v>10</v>
      </c>
      <c r="P2" s="22" t="s">
        <v>9</v>
      </c>
      <c r="Q2" s="22" t="s">
        <v>10</v>
      </c>
      <c r="R2" s="23" t="s">
        <v>11</v>
      </c>
      <c r="S2" s="23" t="s">
        <v>12</v>
      </c>
      <c r="T2" s="23" t="s">
        <v>13</v>
      </c>
      <c r="U2" s="23" t="s">
        <v>14</v>
      </c>
      <c r="V2" s="23" t="s">
        <v>15</v>
      </c>
      <c r="W2" s="23" t="s">
        <v>16</v>
      </c>
      <c r="X2" s="23" t="s">
        <v>7</v>
      </c>
      <c r="Y2" s="23" t="s">
        <v>17</v>
      </c>
      <c r="Z2" s="23" t="s">
        <v>18</v>
      </c>
      <c r="AA2" s="23" t="s">
        <v>19</v>
      </c>
    </row>
    <row r="4" spans="2:27" ht="15.75" customHeight="1" x14ac:dyDescent="0.25">
      <c r="B4" s="42">
        <v>14</v>
      </c>
      <c r="D4" s="35">
        <v>1</v>
      </c>
      <c r="E4" s="35" t="s">
        <v>56</v>
      </c>
      <c r="F4" s="35"/>
      <c r="G4" s="35"/>
      <c r="H4" s="35" t="s">
        <v>39</v>
      </c>
      <c r="I4" s="35" t="s">
        <v>504</v>
      </c>
      <c r="J4" s="35" t="s">
        <v>505</v>
      </c>
      <c r="K4" s="41" t="s">
        <v>506</v>
      </c>
      <c r="L4" s="35" t="s">
        <v>27</v>
      </c>
      <c r="M4" s="41" t="s">
        <v>51</v>
      </c>
      <c r="N4" s="35"/>
      <c r="O4" s="41"/>
      <c r="P4" s="41"/>
      <c r="Q4" s="41"/>
      <c r="R4" s="35">
        <v>12</v>
      </c>
      <c r="S4" s="35" t="s">
        <v>508</v>
      </c>
      <c r="T4" s="35"/>
      <c r="U4" s="35"/>
      <c r="V4" s="35"/>
      <c r="W4" s="35"/>
      <c r="X4" s="35" t="s">
        <v>509</v>
      </c>
      <c r="Y4" s="35" t="s">
        <v>510</v>
      </c>
      <c r="Z4" s="35"/>
      <c r="AA4" s="37"/>
    </row>
    <row r="5" spans="2:27" ht="15.75" customHeight="1" x14ac:dyDescent="0.25">
      <c r="K5" s="11"/>
      <c r="M5" s="11"/>
      <c r="O5" s="11"/>
      <c r="P5" s="11"/>
      <c r="Q5" s="11"/>
    </row>
    <row r="6" spans="2:27" ht="15.75" customHeight="1" x14ac:dyDescent="0.25">
      <c r="D6" s="23" t="s">
        <v>0</v>
      </c>
      <c r="E6" s="23" t="s">
        <v>1</v>
      </c>
      <c r="F6" s="23" t="s">
        <v>2</v>
      </c>
      <c r="G6" s="23" t="s">
        <v>3</v>
      </c>
      <c r="H6" s="23" t="s">
        <v>4</v>
      </c>
      <c r="I6" s="23" t="s">
        <v>5</v>
      </c>
      <c r="J6" s="23" t="s">
        <v>6</v>
      </c>
      <c r="K6" s="15" t="s">
        <v>8</v>
      </c>
      <c r="L6" s="13" t="s">
        <v>9</v>
      </c>
      <c r="M6" s="13" t="s">
        <v>10</v>
      </c>
      <c r="N6" s="14" t="s">
        <v>9</v>
      </c>
      <c r="O6" s="14" t="s">
        <v>10</v>
      </c>
      <c r="P6" s="22" t="s">
        <v>9</v>
      </c>
      <c r="Q6" s="22" t="s">
        <v>10</v>
      </c>
      <c r="R6" s="23" t="s">
        <v>11</v>
      </c>
      <c r="S6" s="26" t="s">
        <v>12</v>
      </c>
      <c r="T6" s="26" t="s">
        <v>13</v>
      </c>
      <c r="U6" s="26" t="s">
        <v>14</v>
      </c>
      <c r="V6" s="26" t="s">
        <v>15</v>
      </c>
      <c r="W6" s="26" t="s">
        <v>16</v>
      </c>
      <c r="X6" s="26" t="s">
        <v>7</v>
      </c>
      <c r="Y6" s="23" t="s">
        <v>17</v>
      </c>
      <c r="Z6" s="23" t="s">
        <v>18</v>
      </c>
      <c r="AA6" s="23" t="s">
        <v>19</v>
      </c>
    </row>
    <row r="7" spans="2:27" ht="15.75" customHeight="1" x14ac:dyDescent="0.25">
      <c r="C7">
        <v>7</v>
      </c>
      <c r="D7">
        <v>1</v>
      </c>
      <c r="E7" t="s">
        <v>56</v>
      </c>
      <c r="F7" t="s">
        <v>37</v>
      </c>
      <c r="G7" t="s">
        <v>38</v>
      </c>
      <c r="H7" t="s">
        <v>39</v>
      </c>
      <c r="I7" t="s">
        <v>473</v>
      </c>
      <c r="J7" t="str">
        <f>SUBSTITUTE(UPPER(I7)," ","")</f>
        <v>MOTOG735G128GB</v>
      </c>
      <c r="K7" s="11" t="s">
        <v>372</v>
      </c>
      <c r="L7" t="s">
        <v>27</v>
      </c>
      <c r="M7" s="11" t="s">
        <v>49</v>
      </c>
      <c r="N7" t="s">
        <v>29</v>
      </c>
      <c r="O7" s="11" t="s">
        <v>472</v>
      </c>
      <c r="P7" s="11" t="s">
        <v>31</v>
      </c>
      <c r="Q7" s="11" t="s">
        <v>52</v>
      </c>
      <c r="R7">
        <v>12</v>
      </c>
      <c r="S7" t="str">
        <f>VLOOKUP(I7,'Imagens Produtos'!B:C,2,)</f>
        <v>claro_0_motorola_G73_5G_azul.png</v>
      </c>
      <c r="T7" t="s">
        <v>152</v>
      </c>
      <c r="U7" t="s">
        <v>44</v>
      </c>
      <c r="V7" t="s">
        <v>958</v>
      </c>
      <c r="X7" t="str">
        <f>LOWER(SUBSTITUTE(I7," ","_"))</f>
        <v>moto_g73_5g_128gb</v>
      </c>
      <c r="AA7" s="5"/>
    </row>
    <row r="8" spans="2:27" ht="15.75" customHeight="1" x14ac:dyDescent="0.25">
      <c r="C8">
        <v>8</v>
      </c>
      <c r="D8">
        <v>2</v>
      </c>
      <c r="E8" t="s">
        <v>45</v>
      </c>
      <c r="F8" t="s">
        <v>63</v>
      </c>
      <c r="G8" t="s">
        <v>58</v>
      </c>
      <c r="H8" t="s">
        <v>24</v>
      </c>
      <c r="I8" t="s">
        <v>447</v>
      </c>
      <c r="J8" t="str">
        <f>SUBSTITUTE(UPPER(I8)," ","")</f>
        <v>GALAXYA235G128GB</v>
      </c>
      <c r="K8" s="11" t="s">
        <v>448</v>
      </c>
      <c r="L8" t="s">
        <v>27</v>
      </c>
      <c r="M8" s="11" t="s">
        <v>42</v>
      </c>
      <c r="N8" t="s">
        <v>29</v>
      </c>
      <c r="O8" s="11" t="s">
        <v>41</v>
      </c>
      <c r="P8" s="11" t="s">
        <v>31</v>
      </c>
      <c r="Q8" s="11" t="s">
        <v>480</v>
      </c>
      <c r="R8">
        <v>12</v>
      </c>
      <c r="S8" t="str">
        <f>VLOOKUP(I8,'Imagens Produtos'!B:C,2,)</f>
        <v>claro_0_samsung_A23_5G_preto.png</v>
      </c>
      <c r="T8" t="s">
        <v>152</v>
      </c>
      <c r="U8" t="s">
        <v>100</v>
      </c>
      <c r="V8" t="s">
        <v>959</v>
      </c>
      <c r="X8" t="str">
        <f>LOWER(SUBSTITUTE(I8," ","_"))</f>
        <v>galaxy_a23_5g_128gb</v>
      </c>
      <c r="AA8" s="5"/>
    </row>
    <row r="9" spans="2:27" ht="15.75" customHeight="1" x14ac:dyDescent="0.25">
      <c r="C9">
        <v>9</v>
      </c>
      <c r="D9">
        <v>3</v>
      </c>
      <c r="E9" t="s">
        <v>72</v>
      </c>
      <c r="F9" t="s">
        <v>73</v>
      </c>
      <c r="G9" t="s">
        <v>74</v>
      </c>
      <c r="H9" t="s">
        <v>39</v>
      </c>
      <c r="I9" t="s">
        <v>40</v>
      </c>
      <c r="J9" t="str">
        <f>SUBSTITUTE(UPPER(I9)," ","")</f>
        <v>MOTOG23128GB</v>
      </c>
      <c r="K9" s="11" t="s">
        <v>41</v>
      </c>
      <c r="L9" t="s">
        <v>27</v>
      </c>
      <c r="M9" s="11" t="s">
        <v>51</v>
      </c>
      <c r="N9" t="s">
        <v>29</v>
      </c>
      <c r="O9" s="11" t="s">
        <v>52</v>
      </c>
      <c r="P9" s="11" t="s">
        <v>31</v>
      </c>
      <c r="Q9" s="11" t="s">
        <v>1016</v>
      </c>
      <c r="R9">
        <v>12</v>
      </c>
      <c r="S9" t="str">
        <f>VLOOKUP(I9,'Imagens Produtos'!B:C,2,)</f>
        <v>claro_0_motorola_G23_grafite.png</v>
      </c>
      <c r="U9" t="s">
        <v>100</v>
      </c>
      <c r="V9" t="s">
        <v>959</v>
      </c>
      <c r="X9" t="str">
        <f>LOWER(SUBSTITUTE(I9," ","_"))</f>
        <v>moto_g23_128gb</v>
      </c>
    </row>
    <row r="10" spans="2:27" ht="15.75" customHeight="1" x14ac:dyDescent="0.25">
      <c r="C10">
        <v>10</v>
      </c>
      <c r="D10">
        <v>4</v>
      </c>
      <c r="E10" t="s">
        <v>36</v>
      </c>
      <c r="F10" t="s">
        <v>57</v>
      </c>
      <c r="G10" t="s">
        <v>47</v>
      </c>
      <c r="H10" t="s">
        <v>39</v>
      </c>
      <c r="I10" t="s">
        <v>40</v>
      </c>
      <c r="J10" t="str">
        <f>SUBSTITUTE(UPPER(I10)," ","")</f>
        <v>MOTOG23128GB</v>
      </c>
      <c r="K10" s="11" t="s">
        <v>41</v>
      </c>
      <c r="L10" t="s">
        <v>27</v>
      </c>
      <c r="M10" s="11" t="s">
        <v>1069</v>
      </c>
      <c r="N10" t="s">
        <v>29</v>
      </c>
      <c r="O10" s="11" t="s">
        <v>1070</v>
      </c>
      <c r="P10" s="11" t="s">
        <v>31</v>
      </c>
      <c r="Q10" s="11" t="s">
        <v>485</v>
      </c>
      <c r="R10">
        <v>12</v>
      </c>
      <c r="S10" t="str">
        <f>VLOOKUP(I10,'Imagens Produtos'!B:C,2,)</f>
        <v>claro_0_motorola_G23_grafite.png</v>
      </c>
      <c r="U10" t="s">
        <v>100</v>
      </c>
      <c r="V10" t="s">
        <v>959</v>
      </c>
      <c r="X10" t="str">
        <f>LOWER(SUBSTITUTE(I10," ","_"))</f>
        <v>moto_g23_128gb</v>
      </c>
    </row>
    <row r="11" spans="2:27" ht="15.75" customHeight="1" x14ac:dyDescent="0.25">
      <c r="C11">
        <v>11</v>
      </c>
      <c r="D11">
        <v>5</v>
      </c>
      <c r="E11" t="s">
        <v>62</v>
      </c>
      <c r="F11" t="s">
        <v>46</v>
      </c>
      <c r="G11" t="s">
        <v>64</v>
      </c>
      <c r="H11" t="s">
        <v>65</v>
      </c>
      <c r="I11" t="s">
        <v>1068</v>
      </c>
      <c r="J11" t="str">
        <f>SUBSTITUTE(UPPER(I11)," ","")</f>
        <v>IPHONE1264GB</v>
      </c>
      <c r="K11" s="11" t="s">
        <v>59</v>
      </c>
      <c r="L11" t="s">
        <v>27</v>
      </c>
      <c r="M11" s="11" t="s">
        <v>483</v>
      </c>
      <c r="N11" t="s">
        <v>29</v>
      </c>
      <c r="O11" s="11" t="s">
        <v>484</v>
      </c>
      <c r="P11" s="11" t="s">
        <v>31</v>
      </c>
      <c r="Q11" s="11" t="s">
        <v>485</v>
      </c>
      <c r="R11">
        <v>12</v>
      </c>
      <c r="S11" t="str">
        <f>VLOOKUP(I11,'Imagens Produtos'!B:C,2,)</f>
        <v>claro_0_apple_iphone12_64GB_preto.png</v>
      </c>
      <c r="T11" t="s">
        <v>126</v>
      </c>
      <c r="X11" t="str">
        <f>LOWER(SUBSTITUTE(I11," ","_"))</f>
        <v>iphone_12_64gb</v>
      </c>
      <c r="AA11" s="5"/>
    </row>
    <row r="13" spans="2:27" ht="15.75" customHeight="1" x14ac:dyDescent="0.25">
      <c r="D13" s="23" t="s">
        <v>0</v>
      </c>
      <c r="E13" s="23" t="s">
        <v>1</v>
      </c>
      <c r="F13" s="23" t="s">
        <v>2</v>
      </c>
      <c r="G13" s="23" t="s">
        <v>3</v>
      </c>
      <c r="H13" s="23" t="s">
        <v>4</v>
      </c>
      <c r="I13" s="23" t="s">
        <v>5</v>
      </c>
      <c r="J13" s="23" t="s">
        <v>6</v>
      </c>
      <c r="K13" s="15" t="s">
        <v>8</v>
      </c>
      <c r="L13" s="13" t="s">
        <v>9</v>
      </c>
      <c r="M13" s="13" t="s">
        <v>10</v>
      </c>
      <c r="N13" s="14" t="s">
        <v>9</v>
      </c>
      <c r="O13" s="14" t="s">
        <v>10</v>
      </c>
      <c r="P13" s="22" t="s">
        <v>9</v>
      </c>
      <c r="Q13" s="22" t="s">
        <v>10</v>
      </c>
      <c r="R13" s="23" t="s">
        <v>11</v>
      </c>
      <c r="S13" s="26" t="s">
        <v>12</v>
      </c>
      <c r="T13" s="26" t="s">
        <v>13</v>
      </c>
      <c r="U13" s="26" t="s">
        <v>14</v>
      </c>
      <c r="V13" s="26" t="s">
        <v>15</v>
      </c>
      <c r="W13" s="26" t="s">
        <v>16</v>
      </c>
      <c r="X13" s="26" t="s">
        <v>7</v>
      </c>
      <c r="Y13" s="23" t="s">
        <v>17</v>
      </c>
      <c r="Z13" s="23" t="s">
        <v>18</v>
      </c>
      <c r="AA13" s="23" t="s">
        <v>19</v>
      </c>
    </row>
    <row r="14" spans="2:27" ht="15.75" customHeight="1" x14ac:dyDescent="0.25">
      <c r="B14" s="35"/>
      <c r="C14" s="35">
        <v>14</v>
      </c>
      <c r="D14" s="35">
        <v>1</v>
      </c>
      <c r="E14" s="35" t="s">
        <v>56</v>
      </c>
      <c r="F14" s="35"/>
      <c r="G14" s="35"/>
      <c r="H14" s="35" t="s">
        <v>39</v>
      </c>
      <c r="I14" s="35" t="s">
        <v>504</v>
      </c>
      <c r="J14" s="35" t="s">
        <v>505</v>
      </c>
      <c r="K14" s="41" t="s">
        <v>506</v>
      </c>
      <c r="L14" s="35" t="s">
        <v>27</v>
      </c>
      <c r="M14" s="41" t="s">
        <v>51</v>
      </c>
      <c r="N14" s="35"/>
      <c r="O14" s="41"/>
      <c r="P14" s="41"/>
      <c r="Q14" s="41"/>
      <c r="R14" s="35">
        <v>12</v>
      </c>
      <c r="S14" s="35" t="s">
        <v>508</v>
      </c>
      <c r="T14" s="35"/>
      <c r="U14" s="35"/>
      <c r="V14" s="35"/>
      <c r="W14" s="35"/>
      <c r="X14" s="35" t="s">
        <v>509</v>
      </c>
      <c r="Y14" s="35" t="s">
        <v>510</v>
      </c>
      <c r="Z14" s="35"/>
      <c r="AA14" s="37"/>
    </row>
    <row r="15" spans="2:27" ht="15.75" customHeight="1" x14ac:dyDescent="0.25">
      <c r="B15" s="35"/>
      <c r="C15" s="35">
        <v>15</v>
      </c>
      <c r="D15" s="35">
        <v>2</v>
      </c>
      <c r="E15" s="35" t="s">
        <v>45</v>
      </c>
      <c r="F15" s="35"/>
      <c r="G15" s="35"/>
      <c r="H15" s="35" t="s">
        <v>39</v>
      </c>
      <c r="I15" s="35" t="s">
        <v>473</v>
      </c>
      <c r="J15" s="35" t="s">
        <v>492</v>
      </c>
      <c r="K15" s="41" t="s">
        <v>1083</v>
      </c>
      <c r="L15" s="35" t="s">
        <v>27</v>
      </c>
      <c r="M15" s="41" t="s">
        <v>41</v>
      </c>
      <c r="N15" s="35"/>
      <c r="O15" s="41"/>
      <c r="P15" s="41"/>
      <c r="Q15" s="41"/>
      <c r="R15" s="35">
        <v>12</v>
      </c>
      <c r="S15" s="35" t="s">
        <v>474</v>
      </c>
      <c r="T15" s="35" t="s">
        <v>152</v>
      </c>
      <c r="U15" s="35" t="s">
        <v>44</v>
      </c>
      <c r="V15" s="35" t="s">
        <v>1330</v>
      </c>
      <c r="W15" s="35"/>
      <c r="X15" s="35" t="s">
        <v>494</v>
      </c>
      <c r="Y15" s="35" t="s">
        <v>475</v>
      </c>
      <c r="Z15" s="35"/>
      <c r="AA15" s="37"/>
    </row>
    <row r="16" spans="2:27" ht="15.75" customHeight="1" x14ac:dyDescent="0.25">
      <c r="B16" s="35"/>
      <c r="C16" s="35">
        <v>16</v>
      </c>
      <c r="D16" s="35">
        <v>3</v>
      </c>
      <c r="E16" s="35" t="s">
        <v>72</v>
      </c>
      <c r="F16" s="35"/>
      <c r="G16" s="35"/>
      <c r="H16" s="35" t="s">
        <v>24</v>
      </c>
      <c r="I16" s="35" t="s">
        <v>447</v>
      </c>
      <c r="J16" s="35" t="s">
        <v>498</v>
      </c>
      <c r="K16" s="41" t="s">
        <v>448</v>
      </c>
      <c r="L16" s="35" t="s">
        <v>27</v>
      </c>
      <c r="M16" s="41" t="s">
        <v>41</v>
      </c>
      <c r="N16" s="35"/>
      <c r="O16" s="41"/>
      <c r="P16" s="41"/>
      <c r="Q16" s="41"/>
      <c r="R16" s="35">
        <v>12</v>
      </c>
      <c r="S16" s="35" t="s">
        <v>450</v>
      </c>
      <c r="T16" s="35" t="s">
        <v>152</v>
      </c>
      <c r="U16" s="35" t="s">
        <v>44</v>
      </c>
      <c r="V16" s="35" t="s">
        <v>1330</v>
      </c>
      <c r="W16" s="35"/>
      <c r="X16" s="35" t="s">
        <v>500</v>
      </c>
      <c r="Y16" s="35" t="s">
        <v>1132</v>
      </c>
      <c r="Z16" s="35"/>
      <c r="AA16" s="35"/>
    </row>
    <row r="17" spans="2:27" ht="15.75" customHeight="1" x14ac:dyDescent="0.25">
      <c r="B17" s="35"/>
      <c r="C17" s="35">
        <v>17</v>
      </c>
      <c r="D17" s="35">
        <v>4</v>
      </c>
      <c r="E17" s="35" t="s">
        <v>36</v>
      </c>
      <c r="F17" s="35"/>
      <c r="G17" s="35"/>
      <c r="H17" s="35" t="s">
        <v>39</v>
      </c>
      <c r="I17" s="35" t="s">
        <v>1133</v>
      </c>
      <c r="J17" s="35" t="s">
        <v>1134</v>
      </c>
      <c r="K17" s="41" t="s">
        <v>1135</v>
      </c>
      <c r="L17" s="35" t="s">
        <v>27</v>
      </c>
      <c r="M17" s="41" t="s">
        <v>50</v>
      </c>
      <c r="N17" s="35"/>
      <c r="O17" s="41"/>
      <c r="P17" s="41"/>
      <c r="Q17" s="41"/>
      <c r="R17" s="35">
        <v>12</v>
      </c>
      <c r="S17" s="35" t="s">
        <v>1136</v>
      </c>
      <c r="T17" s="35" t="s">
        <v>488</v>
      </c>
      <c r="U17" s="35"/>
      <c r="V17" s="35"/>
      <c r="W17" s="35"/>
      <c r="X17" s="35" t="s">
        <v>1137</v>
      </c>
      <c r="Y17" s="35" t="s">
        <v>1138</v>
      </c>
      <c r="Z17" s="35"/>
      <c r="AA17" s="35"/>
    </row>
    <row r="18" spans="2:27" ht="15.75" customHeight="1" x14ac:dyDescent="0.25">
      <c r="B18" s="35"/>
      <c r="C18" s="35">
        <v>18</v>
      </c>
      <c r="D18" s="35">
        <v>5</v>
      </c>
      <c r="E18" s="35" t="s">
        <v>62</v>
      </c>
      <c r="F18" s="35"/>
      <c r="G18" s="35"/>
      <c r="H18" s="35" t="s">
        <v>65</v>
      </c>
      <c r="I18" s="35" t="s">
        <v>1139</v>
      </c>
      <c r="J18" s="35" t="s">
        <v>1140</v>
      </c>
      <c r="K18" s="41" t="s">
        <v>1141</v>
      </c>
      <c r="L18" s="35" t="s">
        <v>27</v>
      </c>
      <c r="M18" s="41" t="s">
        <v>1404</v>
      </c>
      <c r="N18" s="35"/>
      <c r="O18" s="41"/>
      <c r="P18" s="41"/>
      <c r="Q18" s="41"/>
      <c r="R18" s="35">
        <v>12</v>
      </c>
      <c r="S18" s="35" t="s">
        <v>1011</v>
      </c>
      <c r="T18" s="35" t="s">
        <v>152</v>
      </c>
      <c r="U18" s="35"/>
      <c r="V18" s="35"/>
      <c r="W18" s="35"/>
      <c r="X18" s="35" t="s">
        <v>1142</v>
      </c>
      <c r="Y18" s="35" t="s">
        <v>1143</v>
      </c>
      <c r="Z18" s="35"/>
      <c r="AA18" s="37"/>
    </row>
    <row r="19" spans="2:27" ht="15.75" customHeight="1" x14ac:dyDescent="0.25">
      <c r="K19" s="11"/>
      <c r="M19" s="11"/>
      <c r="O19" s="11"/>
      <c r="P19" s="11"/>
      <c r="Q19" s="11"/>
    </row>
    <row r="20" spans="2:27" ht="15.75" customHeight="1" x14ac:dyDescent="0.25">
      <c r="D20" s="23" t="s">
        <v>0</v>
      </c>
      <c r="E20" s="23" t="s">
        <v>1</v>
      </c>
      <c r="F20" s="23" t="s">
        <v>2</v>
      </c>
      <c r="G20" s="23" t="s">
        <v>3</v>
      </c>
      <c r="H20" s="23" t="s">
        <v>4</v>
      </c>
      <c r="I20" s="23" t="s">
        <v>5</v>
      </c>
      <c r="J20" s="23" t="s">
        <v>6</v>
      </c>
      <c r="K20" s="15" t="s">
        <v>8</v>
      </c>
      <c r="L20" s="13" t="s">
        <v>9</v>
      </c>
      <c r="M20" s="13" t="s">
        <v>10</v>
      </c>
      <c r="N20" s="14" t="s">
        <v>9</v>
      </c>
      <c r="O20" s="14" t="s">
        <v>10</v>
      </c>
      <c r="P20" s="22" t="s">
        <v>9</v>
      </c>
      <c r="Q20" s="22" t="s">
        <v>10</v>
      </c>
      <c r="R20" s="23" t="s">
        <v>11</v>
      </c>
      <c r="S20" s="26" t="s">
        <v>12</v>
      </c>
      <c r="T20" s="26" t="s">
        <v>13</v>
      </c>
      <c r="U20" s="26" t="s">
        <v>14</v>
      </c>
      <c r="V20" s="26" t="s">
        <v>15</v>
      </c>
      <c r="W20" s="26" t="s">
        <v>16</v>
      </c>
      <c r="X20" s="26" t="s">
        <v>7</v>
      </c>
      <c r="Y20" s="23" t="s">
        <v>17</v>
      </c>
      <c r="Z20" s="23" t="s">
        <v>18</v>
      </c>
      <c r="AA20" s="23" t="s">
        <v>19</v>
      </c>
    </row>
    <row r="21" spans="2:27" ht="15.75" customHeight="1" x14ac:dyDescent="0.25">
      <c r="B21" s="14"/>
      <c r="C21" s="14">
        <v>21</v>
      </c>
      <c r="D21" s="51">
        <v>1</v>
      </c>
      <c r="E21" s="51"/>
      <c r="F21" s="51" t="s">
        <v>37</v>
      </c>
      <c r="G21" s="51"/>
      <c r="H21" s="51" t="s">
        <v>39</v>
      </c>
      <c r="I21" s="51" t="s">
        <v>1133</v>
      </c>
      <c r="J21" s="51" t="s">
        <v>1134</v>
      </c>
      <c r="K21" s="52" t="s">
        <v>1135</v>
      </c>
      <c r="L21" s="51"/>
      <c r="M21" s="51"/>
      <c r="N21" s="51" t="s">
        <v>29</v>
      </c>
      <c r="O21" s="52" t="s">
        <v>51</v>
      </c>
      <c r="P21" s="51"/>
      <c r="Q21" s="51"/>
      <c r="R21" s="51">
        <v>12</v>
      </c>
      <c r="S21" s="51" t="s">
        <v>1136</v>
      </c>
      <c r="T21" s="51" t="s">
        <v>488</v>
      </c>
      <c r="U21" s="51"/>
      <c r="V21" s="51"/>
      <c r="W21" s="51"/>
      <c r="X21" s="51" t="s">
        <v>1137</v>
      </c>
      <c r="Y21" s="51"/>
      <c r="Z21" s="51" t="s">
        <v>1144</v>
      </c>
      <c r="AA21" s="51"/>
    </row>
    <row r="22" spans="2:27" ht="15.75" customHeight="1" x14ac:dyDescent="0.25">
      <c r="B22" s="14"/>
      <c r="C22" s="14">
        <v>22</v>
      </c>
      <c r="D22" s="51">
        <v>2</v>
      </c>
      <c r="E22" s="51"/>
      <c r="F22" s="51" t="s">
        <v>63</v>
      </c>
      <c r="G22" s="51"/>
      <c r="H22" s="51" t="s">
        <v>39</v>
      </c>
      <c r="I22" s="51" t="s">
        <v>473</v>
      </c>
      <c r="J22" s="51" t="s">
        <v>492</v>
      </c>
      <c r="K22" s="52" t="s">
        <v>1083</v>
      </c>
      <c r="L22" s="51"/>
      <c r="M22" s="51"/>
      <c r="N22" s="51" t="s">
        <v>29</v>
      </c>
      <c r="O22" s="52" t="s">
        <v>449</v>
      </c>
      <c r="P22" s="51"/>
      <c r="Q22" s="51"/>
      <c r="R22" s="51">
        <v>12</v>
      </c>
      <c r="S22" s="51" t="s">
        <v>474</v>
      </c>
      <c r="T22" s="51" t="s">
        <v>152</v>
      </c>
      <c r="U22" s="51" t="s">
        <v>44</v>
      </c>
      <c r="V22" s="51" t="s">
        <v>1330</v>
      </c>
      <c r="W22" s="51"/>
      <c r="X22" s="51" t="s">
        <v>494</v>
      </c>
      <c r="Y22" s="51"/>
      <c r="Z22" s="51" t="s">
        <v>476</v>
      </c>
      <c r="AA22" s="51"/>
    </row>
    <row r="23" spans="2:27" ht="15.75" customHeight="1" x14ac:dyDescent="0.25">
      <c r="B23" s="14"/>
      <c r="C23" s="14">
        <v>23</v>
      </c>
      <c r="D23" s="51">
        <v>3</v>
      </c>
      <c r="E23" s="51"/>
      <c r="F23" s="51" t="s">
        <v>73</v>
      </c>
      <c r="G23" s="51"/>
      <c r="H23" s="51" t="s">
        <v>39</v>
      </c>
      <c r="I23" s="51" t="s">
        <v>504</v>
      </c>
      <c r="J23" s="51" t="s">
        <v>505</v>
      </c>
      <c r="K23" s="52" t="s">
        <v>506</v>
      </c>
      <c r="L23" s="51"/>
      <c r="M23" s="51"/>
      <c r="N23" s="51" t="s">
        <v>29</v>
      </c>
      <c r="O23" s="52" t="s">
        <v>52</v>
      </c>
      <c r="P23" s="51"/>
      <c r="Q23" s="51"/>
      <c r="R23" s="51">
        <v>12</v>
      </c>
      <c r="S23" s="51" t="s">
        <v>508</v>
      </c>
      <c r="T23" s="51"/>
      <c r="U23" s="51"/>
      <c r="V23" s="51"/>
      <c r="W23" s="51"/>
      <c r="X23" s="51" t="s">
        <v>509</v>
      </c>
      <c r="Y23" s="51"/>
      <c r="Z23" s="51" t="s">
        <v>511</v>
      </c>
      <c r="AA23" s="51"/>
    </row>
    <row r="24" spans="2:27" ht="15.75" customHeight="1" x14ac:dyDescent="0.25">
      <c r="B24" s="14"/>
      <c r="C24" s="14">
        <v>24</v>
      </c>
      <c r="D24" s="51">
        <v>4</v>
      </c>
      <c r="E24" s="51"/>
      <c r="F24" s="51" t="s">
        <v>57</v>
      </c>
      <c r="G24" s="51"/>
      <c r="H24" s="51" t="s">
        <v>24</v>
      </c>
      <c r="I24" s="51" t="s">
        <v>1015</v>
      </c>
      <c r="J24" s="51" t="s">
        <v>1245</v>
      </c>
      <c r="K24" s="52" t="s">
        <v>528</v>
      </c>
      <c r="L24" s="51"/>
      <c r="M24" s="51"/>
      <c r="N24" s="51" t="s">
        <v>29</v>
      </c>
      <c r="O24" s="52" t="s">
        <v>1246</v>
      </c>
      <c r="P24" s="51"/>
      <c r="Q24" s="51"/>
      <c r="R24" s="51">
        <v>12</v>
      </c>
      <c r="S24" s="51" t="s">
        <v>1014</v>
      </c>
      <c r="T24" s="51" t="s">
        <v>152</v>
      </c>
      <c r="U24" s="51" t="s">
        <v>44</v>
      </c>
      <c r="V24" s="51" t="s">
        <v>1330</v>
      </c>
      <c r="W24" s="51"/>
      <c r="X24" s="51" t="s">
        <v>1332</v>
      </c>
      <c r="Y24" s="51"/>
      <c r="Z24" s="51" t="s">
        <v>1247</v>
      </c>
      <c r="AA24" s="51"/>
    </row>
    <row r="25" spans="2:27" ht="15.75" customHeight="1" x14ac:dyDescent="0.25">
      <c r="B25" s="14"/>
      <c r="C25" s="14">
        <v>25</v>
      </c>
      <c r="D25" s="51">
        <v>5</v>
      </c>
      <c r="E25" s="51"/>
      <c r="F25" s="51" t="s">
        <v>46</v>
      </c>
      <c r="G25" s="51"/>
      <c r="H25" s="51" t="s">
        <v>65</v>
      </c>
      <c r="I25" s="51" t="s">
        <v>1139</v>
      </c>
      <c r="J25" s="51" t="s">
        <v>1140</v>
      </c>
      <c r="K25" s="52" t="s">
        <v>1141</v>
      </c>
      <c r="L25" s="51"/>
      <c r="M25" s="51"/>
      <c r="N25" s="51" t="s">
        <v>29</v>
      </c>
      <c r="O25" s="52" t="s">
        <v>1391</v>
      </c>
      <c r="P25" s="51"/>
      <c r="Q25" s="51"/>
      <c r="R25" s="51">
        <v>12</v>
      </c>
      <c r="S25" s="51" t="s">
        <v>1011</v>
      </c>
      <c r="T25" s="51" t="s">
        <v>152</v>
      </c>
      <c r="U25" s="51"/>
      <c r="V25" s="51"/>
      <c r="W25" s="51"/>
      <c r="X25" s="51" t="s">
        <v>1142</v>
      </c>
      <c r="Y25" s="51"/>
      <c r="Z25" s="51" t="s">
        <v>1148</v>
      </c>
      <c r="AA25" s="51"/>
    </row>
    <row r="27" spans="2:27" ht="15.75" customHeight="1" x14ac:dyDescent="0.25">
      <c r="D27" s="23" t="s">
        <v>0</v>
      </c>
      <c r="E27" s="23" t="s">
        <v>1</v>
      </c>
      <c r="F27" s="23" t="s">
        <v>2</v>
      </c>
      <c r="G27" s="23" t="s">
        <v>3</v>
      </c>
      <c r="H27" s="23" t="s">
        <v>4</v>
      </c>
      <c r="I27" s="23" t="s">
        <v>5</v>
      </c>
      <c r="J27" s="23" t="s">
        <v>6</v>
      </c>
      <c r="K27" s="15" t="s">
        <v>8</v>
      </c>
      <c r="L27" s="13" t="s">
        <v>9</v>
      </c>
      <c r="M27" s="13" t="s">
        <v>10</v>
      </c>
      <c r="N27" s="14" t="s">
        <v>9</v>
      </c>
      <c r="O27" s="14" t="s">
        <v>10</v>
      </c>
      <c r="P27" s="22" t="s">
        <v>9</v>
      </c>
      <c r="Q27" s="22" t="s">
        <v>10</v>
      </c>
      <c r="R27" s="23" t="s">
        <v>11</v>
      </c>
      <c r="S27" s="26" t="s">
        <v>12</v>
      </c>
      <c r="T27" s="26" t="s">
        <v>13</v>
      </c>
      <c r="U27" s="26" t="s">
        <v>14</v>
      </c>
      <c r="V27" s="26" t="s">
        <v>15</v>
      </c>
      <c r="W27" s="26" t="s">
        <v>16</v>
      </c>
      <c r="X27" s="26" t="s">
        <v>7</v>
      </c>
      <c r="Y27" s="23" t="s">
        <v>17</v>
      </c>
      <c r="Z27" s="23" t="s">
        <v>18</v>
      </c>
      <c r="AA27" s="23" t="s">
        <v>19</v>
      </c>
    </row>
    <row r="28" spans="2:27" ht="15.75" customHeight="1" x14ac:dyDescent="0.25">
      <c r="B28" s="42"/>
      <c r="C28" s="42">
        <v>28</v>
      </c>
      <c r="D28" s="42">
        <v>1</v>
      </c>
      <c r="E28" s="42"/>
      <c r="F28" s="42"/>
      <c r="G28" s="42" t="s">
        <v>38</v>
      </c>
      <c r="H28" s="42" t="s">
        <v>39</v>
      </c>
      <c r="I28" s="42" t="s">
        <v>473</v>
      </c>
      <c r="J28" s="42" t="s">
        <v>492</v>
      </c>
      <c r="K28" s="43" t="s">
        <v>1083</v>
      </c>
      <c r="L28" s="42"/>
      <c r="M28" s="43"/>
      <c r="N28" s="42"/>
      <c r="O28" s="43"/>
      <c r="P28" s="43" t="s">
        <v>31</v>
      </c>
      <c r="Q28" s="43" t="s">
        <v>52</v>
      </c>
      <c r="R28" s="42">
        <v>12</v>
      </c>
      <c r="S28" s="42" t="s">
        <v>474</v>
      </c>
      <c r="T28" s="42" t="s">
        <v>152</v>
      </c>
      <c r="U28" s="42" t="s">
        <v>44</v>
      </c>
      <c r="V28" s="42" t="s">
        <v>1330</v>
      </c>
      <c r="W28" s="42"/>
      <c r="X28" s="42" t="s">
        <v>494</v>
      </c>
      <c r="Y28" s="42"/>
      <c r="Z28" s="42"/>
      <c r="AA28" s="44" t="s">
        <v>477</v>
      </c>
    </row>
    <row r="29" spans="2:27" ht="15.75" customHeight="1" x14ac:dyDescent="0.25">
      <c r="B29" s="42"/>
      <c r="C29" s="42">
        <v>29</v>
      </c>
      <c r="D29" s="42">
        <v>2</v>
      </c>
      <c r="E29" s="42"/>
      <c r="F29" s="42"/>
      <c r="G29" s="42" t="s">
        <v>58</v>
      </c>
      <c r="H29" s="42" t="s">
        <v>24</v>
      </c>
      <c r="I29" s="42" t="s">
        <v>1079</v>
      </c>
      <c r="J29" s="42" t="s">
        <v>1080</v>
      </c>
      <c r="K29" s="43" t="s">
        <v>372</v>
      </c>
      <c r="L29" s="42"/>
      <c r="M29" s="43"/>
      <c r="N29" s="42"/>
      <c r="O29" s="43"/>
      <c r="P29" s="43" t="s">
        <v>31</v>
      </c>
      <c r="Q29" s="43" t="s">
        <v>43</v>
      </c>
      <c r="R29" s="42">
        <v>12</v>
      </c>
      <c r="S29" s="42" t="s">
        <v>1081</v>
      </c>
      <c r="T29" s="42" t="s">
        <v>152</v>
      </c>
      <c r="U29" s="42" t="s">
        <v>44</v>
      </c>
      <c r="V29" s="42" t="s">
        <v>1330</v>
      </c>
      <c r="W29" s="42"/>
      <c r="X29" s="42" t="s">
        <v>1082</v>
      </c>
      <c r="Y29" s="42"/>
      <c r="Z29" s="42"/>
      <c r="AA29" s="44" t="s">
        <v>1331</v>
      </c>
    </row>
    <row r="30" spans="2:27" ht="15.75" customHeight="1" x14ac:dyDescent="0.25">
      <c r="B30" s="42"/>
      <c r="C30" s="42">
        <v>30</v>
      </c>
      <c r="D30" s="42">
        <v>3</v>
      </c>
      <c r="E30" s="42"/>
      <c r="F30" s="42"/>
      <c r="G30" s="42" t="s">
        <v>74</v>
      </c>
      <c r="H30" s="42" t="s">
        <v>24</v>
      </c>
      <c r="I30" s="42" t="s">
        <v>1015</v>
      </c>
      <c r="J30" s="42" t="s">
        <v>1245</v>
      </c>
      <c r="K30" s="43" t="s">
        <v>528</v>
      </c>
      <c r="L30" s="42"/>
      <c r="M30" s="43"/>
      <c r="N30" s="42"/>
      <c r="O30" s="43"/>
      <c r="P30" s="43" t="s">
        <v>31</v>
      </c>
      <c r="Q30" s="43" t="s">
        <v>1248</v>
      </c>
      <c r="R30" s="42">
        <v>12</v>
      </c>
      <c r="S30" s="42" t="s">
        <v>1014</v>
      </c>
      <c r="T30" s="42" t="s">
        <v>152</v>
      </c>
      <c r="U30" s="42" t="s">
        <v>44</v>
      </c>
      <c r="V30" s="42" t="s">
        <v>1330</v>
      </c>
      <c r="W30" s="42"/>
      <c r="X30" s="42" t="s">
        <v>1332</v>
      </c>
      <c r="Y30" s="42"/>
      <c r="Z30" s="42"/>
      <c r="AA30" s="42" t="s">
        <v>1249</v>
      </c>
    </row>
    <row r="31" spans="2:27" ht="15.75" customHeight="1" x14ac:dyDescent="0.25">
      <c r="B31" s="42"/>
      <c r="C31" s="42">
        <v>31</v>
      </c>
      <c r="D31" s="42">
        <v>4</v>
      </c>
      <c r="E31" s="42"/>
      <c r="F31" s="42"/>
      <c r="G31" s="42" t="s">
        <v>47</v>
      </c>
      <c r="H31" s="42" t="s">
        <v>24</v>
      </c>
      <c r="I31" s="42" t="s">
        <v>447</v>
      </c>
      <c r="J31" s="42" t="s">
        <v>498</v>
      </c>
      <c r="K31" s="43" t="s">
        <v>448</v>
      </c>
      <c r="L31" s="42"/>
      <c r="M31" s="43"/>
      <c r="N31" s="42"/>
      <c r="O31" s="43"/>
      <c r="P31" s="43" t="s">
        <v>31</v>
      </c>
      <c r="Q31" s="43" t="s">
        <v>507</v>
      </c>
      <c r="R31" s="42">
        <v>12</v>
      </c>
      <c r="S31" s="42" t="s">
        <v>450</v>
      </c>
      <c r="T31" s="42" t="s">
        <v>152</v>
      </c>
      <c r="U31" s="42" t="s">
        <v>44</v>
      </c>
      <c r="V31" s="42" t="s">
        <v>1330</v>
      </c>
      <c r="W31" s="42"/>
      <c r="X31" s="42" t="s">
        <v>500</v>
      </c>
      <c r="Y31" s="42"/>
      <c r="Z31" s="42"/>
      <c r="AA31" s="42" t="s">
        <v>1017</v>
      </c>
    </row>
    <row r="32" spans="2:27" ht="15.75" customHeight="1" x14ac:dyDescent="0.25">
      <c r="B32" s="42"/>
      <c r="C32" s="42">
        <v>32</v>
      </c>
      <c r="D32" s="42">
        <v>5</v>
      </c>
      <c r="E32" s="42"/>
      <c r="F32" s="42"/>
      <c r="G32" s="42" t="s">
        <v>64</v>
      </c>
      <c r="H32" s="42" t="s">
        <v>65</v>
      </c>
      <c r="I32" s="42" t="s">
        <v>525</v>
      </c>
      <c r="J32" s="42" t="s">
        <v>526</v>
      </c>
      <c r="K32" s="43" t="s">
        <v>527</v>
      </c>
      <c r="L32" s="42"/>
      <c r="M32" s="43"/>
      <c r="N32" s="42"/>
      <c r="O32" s="43"/>
      <c r="P32" s="43" t="s">
        <v>31</v>
      </c>
      <c r="Q32" s="43" t="s">
        <v>1405</v>
      </c>
      <c r="R32" s="42">
        <v>12</v>
      </c>
      <c r="S32" s="42" t="s">
        <v>530</v>
      </c>
      <c r="T32" s="42" t="s">
        <v>152</v>
      </c>
      <c r="U32" s="42"/>
      <c r="V32" s="42"/>
      <c r="W32" s="42"/>
      <c r="X32" s="42" t="s">
        <v>531</v>
      </c>
      <c r="Y32" s="42"/>
      <c r="Z32" s="42"/>
      <c r="AA32" s="44" t="s">
        <v>534</v>
      </c>
    </row>
    <row r="35" spans="3:27" ht="15.75" customHeight="1" x14ac:dyDescent="0.25">
      <c r="D35" s="23" t="s">
        <v>0</v>
      </c>
      <c r="E35" s="23" t="s">
        <v>1</v>
      </c>
      <c r="F35" s="23" t="s">
        <v>2</v>
      </c>
      <c r="G35" s="23" t="s">
        <v>3</v>
      </c>
      <c r="H35" s="23" t="s">
        <v>4</v>
      </c>
      <c r="I35" s="23" t="s">
        <v>5</v>
      </c>
      <c r="J35" s="23" t="s">
        <v>6</v>
      </c>
      <c r="K35" s="15" t="s">
        <v>8</v>
      </c>
      <c r="L35" s="13" t="s">
        <v>9</v>
      </c>
      <c r="M35" s="13" t="s">
        <v>10</v>
      </c>
      <c r="N35" s="14" t="s">
        <v>9</v>
      </c>
      <c r="O35" s="14" t="s">
        <v>10</v>
      </c>
      <c r="P35" s="22" t="s">
        <v>9</v>
      </c>
      <c r="Q35" s="22" t="s">
        <v>10</v>
      </c>
      <c r="R35" s="23" t="s">
        <v>11</v>
      </c>
      <c r="S35" s="26" t="s">
        <v>12</v>
      </c>
      <c r="T35" s="26" t="s">
        <v>13</v>
      </c>
      <c r="U35" s="26" t="s">
        <v>14</v>
      </c>
      <c r="V35" s="26" t="s">
        <v>15</v>
      </c>
      <c r="W35" s="26" t="s">
        <v>16</v>
      </c>
      <c r="X35" s="26" t="s">
        <v>7</v>
      </c>
      <c r="Y35" s="23" t="s">
        <v>17</v>
      </c>
      <c r="Z35" s="23" t="s">
        <v>18</v>
      </c>
      <c r="AA35" s="23" t="s">
        <v>19</v>
      </c>
    </row>
    <row r="36" spans="3:27" ht="15.75" customHeight="1" x14ac:dyDescent="0.25">
      <c r="C36">
        <v>36</v>
      </c>
      <c r="D36">
        <v>1</v>
      </c>
      <c r="E36" t="s">
        <v>489</v>
      </c>
      <c r="F36" t="s">
        <v>490</v>
      </c>
      <c r="G36" t="s">
        <v>491</v>
      </c>
      <c r="H36" t="s">
        <v>39</v>
      </c>
      <c r="I36" t="s">
        <v>473</v>
      </c>
      <c r="J36" t="s">
        <v>492</v>
      </c>
      <c r="K36" t="s">
        <v>372</v>
      </c>
      <c r="L36" t="s">
        <v>27</v>
      </c>
      <c r="M36" t="s">
        <v>49</v>
      </c>
      <c r="N36" t="s">
        <v>29</v>
      </c>
      <c r="O36" t="s">
        <v>472</v>
      </c>
      <c r="P36" t="s">
        <v>31</v>
      </c>
      <c r="Q36" t="s">
        <v>52</v>
      </c>
      <c r="R36">
        <v>12</v>
      </c>
      <c r="S36" t="s">
        <v>474</v>
      </c>
      <c r="U36" t="s">
        <v>44</v>
      </c>
      <c r="V36" t="s">
        <v>493</v>
      </c>
      <c r="X36" t="s">
        <v>494</v>
      </c>
      <c r="Y36" t="s">
        <v>475</v>
      </c>
      <c r="Z36" t="s">
        <v>476</v>
      </c>
      <c r="AA36" t="s">
        <v>477</v>
      </c>
    </row>
    <row r="37" spans="3:27" ht="15.75" customHeight="1" x14ac:dyDescent="0.25">
      <c r="C37">
        <v>37</v>
      </c>
      <c r="D37">
        <v>2</v>
      </c>
      <c r="E37" t="s">
        <v>495</v>
      </c>
      <c r="F37" t="s">
        <v>496</v>
      </c>
      <c r="G37" t="s">
        <v>497</v>
      </c>
      <c r="H37" t="s">
        <v>24</v>
      </c>
      <c r="I37" t="s">
        <v>447</v>
      </c>
      <c r="J37" t="s">
        <v>498</v>
      </c>
      <c r="K37" t="s">
        <v>448</v>
      </c>
      <c r="L37" t="s">
        <v>27</v>
      </c>
      <c r="M37" t="s">
        <v>479</v>
      </c>
      <c r="N37" t="s">
        <v>29</v>
      </c>
      <c r="O37" t="s">
        <v>499</v>
      </c>
      <c r="P37" t="s">
        <v>31</v>
      </c>
      <c r="Q37" t="s">
        <v>480</v>
      </c>
      <c r="R37">
        <v>12</v>
      </c>
      <c r="S37" t="s">
        <v>450</v>
      </c>
      <c r="U37" t="s">
        <v>100</v>
      </c>
      <c r="V37" t="s">
        <v>481</v>
      </c>
      <c r="X37" t="s">
        <v>500</v>
      </c>
      <c r="Y37" t="s">
        <v>451</v>
      </c>
      <c r="Z37" t="s">
        <v>452</v>
      </c>
      <c r="AA37" t="s">
        <v>482</v>
      </c>
    </row>
    <row r="38" spans="3:27" ht="15.75" customHeight="1" x14ac:dyDescent="0.25">
      <c r="C38">
        <v>38</v>
      </c>
      <c r="D38">
        <v>3</v>
      </c>
      <c r="E38" t="s">
        <v>501</v>
      </c>
      <c r="F38" t="s">
        <v>502</v>
      </c>
      <c r="G38" t="s">
        <v>503</v>
      </c>
      <c r="H38" t="s">
        <v>39</v>
      </c>
      <c r="I38" t="s">
        <v>504</v>
      </c>
      <c r="J38" t="s">
        <v>505</v>
      </c>
      <c r="K38" t="s">
        <v>506</v>
      </c>
      <c r="L38" t="s">
        <v>27</v>
      </c>
      <c r="M38" t="s">
        <v>50</v>
      </c>
      <c r="N38" t="s">
        <v>29</v>
      </c>
      <c r="O38" t="s">
        <v>507</v>
      </c>
      <c r="P38" t="s">
        <v>31</v>
      </c>
      <c r="Q38" t="s">
        <v>486</v>
      </c>
      <c r="R38">
        <v>12</v>
      </c>
      <c r="S38" t="s">
        <v>508</v>
      </c>
      <c r="U38" t="s">
        <v>100</v>
      </c>
      <c r="V38" t="s">
        <v>481</v>
      </c>
      <c r="X38" t="s">
        <v>509</v>
      </c>
      <c r="Y38" t="s">
        <v>510</v>
      </c>
      <c r="Z38" t="s">
        <v>511</v>
      </c>
      <c r="AA38" t="s">
        <v>512</v>
      </c>
    </row>
    <row r="39" spans="3:27" ht="15.75" customHeight="1" x14ac:dyDescent="0.25">
      <c r="C39">
        <v>39</v>
      </c>
      <c r="D39">
        <v>4</v>
      </c>
      <c r="E39" t="s">
        <v>513</v>
      </c>
      <c r="F39" t="s">
        <v>514</v>
      </c>
      <c r="G39" t="s">
        <v>515</v>
      </c>
      <c r="H39" t="s">
        <v>24</v>
      </c>
      <c r="I39" t="s">
        <v>516</v>
      </c>
      <c r="J39" t="s">
        <v>517</v>
      </c>
      <c r="K39" t="s">
        <v>456</v>
      </c>
      <c r="L39" t="s">
        <v>27</v>
      </c>
      <c r="M39" t="s">
        <v>457</v>
      </c>
      <c r="N39" t="s">
        <v>29</v>
      </c>
      <c r="O39" t="s">
        <v>458</v>
      </c>
      <c r="P39" t="s">
        <v>31</v>
      </c>
      <c r="Q39" t="s">
        <v>518</v>
      </c>
      <c r="R39">
        <v>12</v>
      </c>
      <c r="S39" t="s">
        <v>519</v>
      </c>
      <c r="X39" t="s">
        <v>520</v>
      </c>
      <c r="Y39" t="s">
        <v>460</v>
      </c>
      <c r="Z39" t="s">
        <v>461</v>
      </c>
      <c r="AA39" t="s">
        <v>521</v>
      </c>
    </row>
    <row r="40" spans="3:27" ht="15.75" customHeight="1" x14ac:dyDescent="0.25">
      <c r="C40">
        <v>40</v>
      </c>
      <c r="D40">
        <v>5</v>
      </c>
      <c r="E40" t="s">
        <v>522</v>
      </c>
      <c r="F40" t="s">
        <v>523</v>
      </c>
      <c r="G40" t="s">
        <v>524</v>
      </c>
      <c r="H40" t="s">
        <v>65</v>
      </c>
      <c r="I40" t="s">
        <v>525</v>
      </c>
      <c r="J40" t="s">
        <v>526</v>
      </c>
      <c r="K40" t="s">
        <v>527</v>
      </c>
      <c r="L40" t="s">
        <v>27</v>
      </c>
      <c r="M40" t="s">
        <v>528</v>
      </c>
      <c r="N40" t="s">
        <v>29</v>
      </c>
      <c r="O40" t="s">
        <v>529</v>
      </c>
      <c r="P40" t="s">
        <v>31</v>
      </c>
      <c r="Q40" t="s">
        <v>70</v>
      </c>
      <c r="R40">
        <v>12</v>
      </c>
      <c r="S40" t="s">
        <v>530</v>
      </c>
      <c r="X40" t="s">
        <v>531</v>
      </c>
      <c r="Y40" t="s">
        <v>532</v>
      </c>
      <c r="Z40" t="s">
        <v>533</v>
      </c>
      <c r="AA40" t="s">
        <v>534</v>
      </c>
    </row>
    <row r="43" spans="3:27" ht="15.75" customHeight="1" x14ac:dyDescent="0.25">
      <c r="I43" t="s">
        <v>142</v>
      </c>
    </row>
    <row r="44" spans="3:27" ht="15.75" customHeight="1" x14ac:dyDescent="0.25">
      <c r="H44" t="s">
        <v>144</v>
      </c>
      <c r="I44" t="str">
        <f>"&amp;utm_source=minhaclaro-deckvendas_web&amp;utm_medium=carrossel_deck&amp;utm_campaign=aparelhos"&amp;X4</f>
        <v>&amp;utm_source=minhaclaro-deckvendas_web&amp;utm_medium=carrossel_deck&amp;utm_campaign=aparelhosmoto_e22_128gb</v>
      </c>
    </row>
    <row r="45" spans="3:27" ht="15.75" customHeight="1" x14ac:dyDescent="0.25">
      <c r="H45" t="s">
        <v>147</v>
      </c>
      <c r="I45" t="str">
        <f>"&amp;utm_source=minhaclaro-deckvendas_app&amp;utm_medium=carrossel_deck&amp;utm_campaign=aparelhos"&amp;X4</f>
        <v>&amp;utm_source=minhaclaro-deckvendas_app&amp;utm_medium=carrossel_deck&amp;utm_campaign=aparelhosmoto_e22_128gb</v>
      </c>
    </row>
    <row r="50" spans="5:21" ht="15.75" customHeight="1" x14ac:dyDescent="0.25">
      <c r="T50" s="25" t="s">
        <v>140</v>
      </c>
      <c r="U50" s="25" t="s">
        <v>141</v>
      </c>
    </row>
    <row r="51" spans="5:21" ht="15.75" customHeight="1" x14ac:dyDescent="0.25">
      <c r="T51" s="25" t="s">
        <v>91</v>
      </c>
      <c r="U51" s="25" t="s">
        <v>143</v>
      </c>
    </row>
    <row r="52" spans="5:21" ht="15.75" customHeight="1" thickBot="1" x14ac:dyDescent="0.3">
      <c r="E52" t="s">
        <v>954</v>
      </c>
      <c r="F52" t="str">
        <f>PROPER(E52)</f>
        <v>Moto G23 128Gb</v>
      </c>
      <c r="T52" s="25" t="s">
        <v>100</v>
      </c>
      <c r="U52" s="25" t="s">
        <v>146</v>
      </c>
    </row>
    <row r="53" spans="5:21" ht="15.75" customHeight="1" thickBot="1" x14ac:dyDescent="0.3">
      <c r="E53" s="39" t="s">
        <v>478</v>
      </c>
      <c r="F53" t="str">
        <f>PROPER(E53)</f>
        <v>Galaxy A23 5G 128 Gb</v>
      </c>
      <c r="T53" s="25" t="s">
        <v>44</v>
      </c>
      <c r="U53" s="25" t="s">
        <v>149</v>
      </c>
    </row>
    <row r="54" spans="5:21" ht="15.75" customHeight="1" thickBot="1" x14ac:dyDescent="0.3">
      <c r="E54" s="39" t="s">
        <v>954</v>
      </c>
      <c r="F54" t="str">
        <f>PROPER(E54)</f>
        <v>Moto G23 128Gb</v>
      </c>
      <c r="T54" s="25" t="s">
        <v>118</v>
      </c>
      <c r="U54" s="25" t="s">
        <v>150</v>
      </c>
    </row>
    <row r="55" spans="5:21" ht="15.75" customHeight="1" thickBot="1" x14ac:dyDescent="0.3">
      <c r="E55" s="39" t="s">
        <v>957</v>
      </c>
      <c r="F55" t="str">
        <f>PROPER(E55)</f>
        <v>Galaxy S23 5G 128 Gb</v>
      </c>
      <c r="O55" t="s">
        <v>151</v>
      </c>
    </row>
    <row r="56" spans="5:21" ht="15.75" customHeight="1" thickBot="1" x14ac:dyDescent="0.3">
      <c r="E56" s="39" t="s">
        <v>955</v>
      </c>
      <c r="F56" t="str">
        <f>PROPER(E56)</f>
        <v>Iphone 12 64Gb</v>
      </c>
      <c r="O56" t="s">
        <v>61</v>
      </c>
    </row>
    <row r="57" spans="5:21" ht="15.75" customHeight="1" x14ac:dyDescent="0.25">
      <c r="O57" t="s">
        <v>109</v>
      </c>
    </row>
    <row r="58" spans="5:21" ht="15.75" customHeight="1" x14ac:dyDescent="0.25">
      <c r="O58" t="s">
        <v>117</v>
      </c>
    </row>
    <row r="59" spans="5:21" ht="15.75" customHeight="1" x14ac:dyDescent="0.25">
      <c r="O59" t="s">
        <v>126</v>
      </c>
    </row>
    <row r="60" spans="5:21" ht="15.75" customHeight="1" x14ac:dyDescent="0.25">
      <c r="O60" t="s">
        <v>488</v>
      </c>
    </row>
    <row r="61" spans="5:21" ht="15.75" customHeight="1" x14ac:dyDescent="0.25">
      <c r="O61" t="s">
        <v>152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APARELHOS">
                <anchor moveWithCells="1" sizeWithCells="1">
                  <from>
                    <xdr:col>1</xdr:col>
                    <xdr:colOff>38100</xdr:colOff>
                    <xdr:row>7</xdr:row>
                    <xdr:rowOff>104775</xdr:rowOff>
                  </from>
                  <to>
                    <xdr:col>2</xdr:col>
                    <xdr:colOff>9525</xdr:colOff>
                    <xdr:row>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APARELHOS_PRE">
                <anchor moveWithCells="1" sizeWithCells="1">
                  <from>
                    <xdr:col>1</xdr:col>
                    <xdr:colOff>38100</xdr:colOff>
                    <xdr:row>14</xdr:row>
                    <xdr:rowOff>142875</xdr:rowOff>
                  </from>
                  <to>
                    <xdr:col>2</xdr:col>
                    <xdr:colOff>0</xdr:colOff>
                    <xdr:row>16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6" name="Button 4">
              <controlPr defaultSize="0" print="0" autoFill="0" autoPict="0" macro="[0]!APARELHOS_POS">
                <anchor moveWithCells="1" sizeWithCells="1">
                  <from>
                    <xdr:col>1</xdr:col>
                    <xdr:colOff>19050</xdr:colOff>
                    <xdr:row>28</xdr:row>
                    <xdr:rowOff>104775</xdr:rowOff>
                  </from>
                  <to>
                    <xdr:col>2</xdr:col>
                    <xdr:colOff>9525</xdr:colOff>
                    <xdr:row>30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7" name="Button 3">
              <controlPr defaultSize="0" print="0" autoFill="0" autoPict="0" macro="[0]!APARELHOS_CONTROLE">
                <anchor moveWithCells="1" sizeWithCells="1">
                  <from>
                    <xdr:col>1</xdr:col>
                    <xdr:colOff>57150</xdr:colOff>
                    <xdr:row>21</xdr:row>
                    <xdr:rowOff>123825</xdr:rowOff>
                  </from>
                  <to>
                    <xdr:col>2</xdr:col>
                    <xdr:colOff>38100</xdr:colOff>
                    <xdr:row>23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E4477-253C-4845-9DED-F8DD7D82BE81}">
  <sheetPr codeName="Planilha5"/>
  <dimension ref="A1:F56"/>
  <sheetViews>
    <sheetView workbookViewId="0">
      <selection activeCell="F2" sqref="F2:F15"/>
    </sheetView>
  </sheetViews>
  <sheetFormatPr defaultRowHeight="15" x14ac:dyDescent="0.25"/>
  <cols>
    <col min="1" max="1" width="21.140625" customWidth="1"/>
    <col min="2" max="2" width="27" customWidth="1"/>
    <col min="3" max="3" width="7" customWidth="1"/>
  </cols>
  <sheetData>
    <row r="1" spans="1:6" x14ac:dyDescent="0.25">
      <c r="A1" s="68" t="s">
        <v>153</v>
      </c>
      <c r="B1" s="68"/>
    </row>
    <row r="2" spans="1:6" x14ac:dyDescent="0.25">
      <c r="A2" t="s">
        <v>158</v>
      </c>
      <c r="F2" t="str">
        <f>A2</f>
        <v>{</v>
      </c>
    </row>
    <row r="3" spans="1:6" x14ac:dyDescent="0.25">
      <c r="A3" t="s">
        <v>160</v>
      </c>
      <c r="B3" t="str">
        <f>'TABELA APARELHOS'!E4</f>
        <v>dbdaea27-1f3f-4446-85d8-11d0a70ca49a</v>
      </c>
      <c r="C3" t="s">
        <v>161</v>
      </c>
      <c r="F3" t="str">
        <f>A3&amp;B3&amp;C3</f>
        <v xml:space="preserve"> "idcampanha":"dbdaea27-1f3f-4446-85d8-11d0a70ca49a",</v>
      </c>
    </row>
    <row r="4" spans="1:6" x14ac:dyDescent="0.25">
      <c r="A4" t="s">
        <v>164</v>
      </c>
      <c r="B4" t="s">
        <v>165</v>
      </c>
      <c r="C4" t="s">
        <v>166</v>
      </c>
      <c r="F4" t="str">
        <f>A4&amp;B4&amp;C4</f>
        <v xml:space="preserve"> "ativo":true,</v>
      </c>
    </row>
    <row r="5" spans="1:6" x14ac:dyDescent="0.25">
      <c r="A5" t="s">
        <v>168</v>
      </c>
      <c r="B5" s="1" t="str">
        <f>'TABELA APARELHOS'!I4&amp;"PRE"</f>
        <v>GALAXYA13128GBPRE</v>
      </c>
      <c r="C5" t="s">
        <v>161</v>
      </c>
      <c r="F5" t="str">
        <f>A5&amp;B5&amp;C5</f>
        <v xml:space="preserve"> "codCampanha":"GALAXYA13128GBPRE",</v>
      </c>
    </row>
    <row r="6" spans="1:6" x14ac:dyDescent="0.25">
      <c r="A6" t="s">
        <v>170</v>
      </c>
      <c r="F6" t="str">
        <f>A6&amp;A7&amp;B7&amp;C7&amp;A8&amp;B8&amp;C8&amp;A9&amp;B9&amp;C9&amp;A10&amp;B10&amp;C10&amp;A11&amp;B11&amp;C11&amp;A12&amp;B12&amp;C12&amp;A13&amp;B13&amp;C13&amp;A14&amp;B14&amp;C14&amp;A15</f>
        <v xml:space="preserve"> "defaultMetaData": "{  \"PRECO_DE\": \"1.589,00\", \"PRECO_POR\": \"989,00\", \"VALOR_PARCELA\": \"41,99\", \"QTD_PARCELA\": \"24\", \"URL_IMG\": \"https://assets.clarobrasil.mobi/ecommerce-config/sales-deck/claro_0_samsung_a13_preto_frente_verso-deck.png\",  \"SELO_ORELHA\": \"\",  \"SELO_TEMPLATE\": \"\",  \"SELO_TEXTO\": \"\"}",</v>
      </c>
    </row>
    <row r="7" spans="1:6" x14ac:dyDescent="0.25">
      <c r="A7" t="s">
        <v>173</v>
      </c>
      <c r="B7" t="str">
        <f>'TABELA APARELHOS'!J4</f>
        <v>1.589,00</v>
      </c>
      <c r="C7" t="s">
        <v>163</v>
      </c>
      <c r="F7" t="str">
        <f>A16&amp;A17&amp;B17&amp;G19&amp;C17&amp;A18&amp;B18&amp;G18&amp;C18&amp;A19&amp;B19&amp;G19&amp;C19&amp;A20</f>
        <v xml:space="preserve"> "defaultUrlRedirect": "{ \"default\": \"https://planoscelular.claro.com.br/claroCampaigns/subcampaign?sku=000000000000018321&amp;campaign=CBA&amp;subCampaign=&amp;paymentMethod=debitcard&amp;loyalty=true&amp;invoiceType=DIGITAL&amp;city=&amp;state=&amp;processType=migrate&amp;offerPlanId=22285&amp;smartphone=true&amp;utm_source=minhaclaro-deckvendas_app\", \"MCLA\": \"https://planoscelular.claro.com.br/claroCampaigns/subcampaign?sku=000000000000018321&amp;campaign=CBA&amp;subCampaign=&amp;paymentMethod=debitcard&amp;loyalty=true&amp;invoiceType=DIGITAL&amp;city=&amp;state=&amp;processType=migrate&amp;offerPlanId=22285&amp;smartphone=true&amp;utm_source=minhaclaro-deckvendas_web\", \"MCAP\": \"https://planoscelular.claro.com.br/claroCampaigns/subcampaign?sku=000000000000018321&amp;campaign=CBA&amp;subCampaign=&amp;paymentMethod=debitcard&amp;loyalty=true&amp;invoiceType=DIGITAL&amp;city=&amp;state=&amp;processType=migrate&amp;offerPlanId=22285&amp;smartphone=true&amp;utm_source=minhaclaro-deckvendas_app\"}",</v>
      </c>
    </row>
    <row r="8" spans="1:6" x14ac:dyDescent="0.25">
      <c r="A8" t="s">
        <v>176</v>
      </c>
      <c r="B8" t="str">
        <f>'TABELA APARELHOS'!L4</f>
        <v>989,00</v>
      </c>
      <c r="C8" t="s">
        <v>163</v>
      </c>
      <c r="F8" t="str">
        <f t="shared" ref="F8:F14" si="0">A21&amp;B21&amp;C21</f>
        <v xml:space="preserve"> "descricao": "Carrossel de Aparelhos - Deck de Vendas",</v>
      </c>
    </row>
    <row r="9" spans="1:6" x14ac:dyDescent="0.25">
      <c r="A9" t="s">
        <v>177</v>
      </c>
      <c r="B9">
        <f>INT(B8/B10)+0.99</f>
        <v>41.99</v>
      </c>
      <c r="C9" t="s">
        <v>163</v>
      </c>
      <c r="F9" t="str">
        <f t="shared" si="0"/>
        <v xml:space="preserve"> "segmento":"",</v>
      </c>
    </row>
    <row r="10" spans="1:6" x14ac:dyDescent="0.25">
      <c r="A10" t="s">
        <v>178</v>
      </c>
      <c r="B10" s="6">
        <v>24</v>
      </c>
      <c r="C10" t="s">
        <v>163</v>
      </c>
      <c r="F10" t="str">
        <f t="shared" si="0"/>
        <v xml:space="preserve"> "nome": "Galaxy A13 128GB",</v>
      </c>
    </row>
    <row r="11" spans="1:6" x14ac:dyDescent="0.25">
      <c r="A11" t="s">
        <v>537</v>
      </c>
      <c r="B11" t="str">
        <f>'TABELA APARELHOS'!P4</f>
        <v>claro_0_samsung_a13_preto_frente_verso-deck.png</v>
      </c>
      <c r="C11" t="s">
        <v>163</v>
      </c>
      <c r="F11" t="str">
        <f t="shared" si="0"/>
        <v xml:space="preserve"> "prioridade":2,</v>
      </c>
    </row>
    <row r="12" spans="1:6" x14ac:dyDescent="0.25">
      <c r="A12" t="s">
        <v>179</v>
      </c>
      <c r="C12" t="s">
        <v>163</v>
      </c>
      <c r="F12" t="str">
        <f t="shared" si="0"/>
        <v xml:space="preserve"> "textoPrincipal": "Samsung",</v>
      </c>
    </row>
    <row r="13" spans="1:6" x14ac:dyDescent="0.25">
      <c r="A13" t="s">
        <v>180</v>
      </c>
      <c r="C13" t="s">
        <v>163</v>
      </c>
      <c r="F13" t="str">
        <f t="shared" si="0"/>
        <v xml:space="preserve"> "textoSecundario": "Controle 20GB",</v>
      </c>
    </row>
    <row r="14" spans="1:6" x14ac:dyDescent="0.25">
      <c r="A14" t="s">
        <v>181</v>
      </c>
      <c r="C14" t="s">
        <v>183</v>
      </c>
      <c r="F14" t="str">
        <f t="shared" si="0"/>
        <v xml:space="preserve"> "tipo": "carrossel_deck_pre"</v>
      </c>
    </row>
    <row r="15" spans="1:6" x14ac:dyDescent="0.25">
      <c r="A15" t="s">
        <v>184</v>
      </c>
      <c r="F15" t="str">
        <f>A28</f>
        <v>},</v>
      </c>
    </row>
    <row r="16" spans="1:6" x14ac:dyDescent="0.25">
      <c r="A16" t="s">
        <v>185</v>
      </c>
      <c r="F16" t="str">
        <f>A30</f>
        <v>{</v>
      </c>
    </row>
    <row r="17" spans="1:6" x14ac:dyDescent="0.25">
      <c r="A17" t="s">
        <v>186</v>
      </c>
      <c r="B17" s="5" t="str">
        <f>'TABELA APARELHOS'!Q4&amp;'TABELA APARELHOS'!H15</f>
        <v>https://planoscelular.claro.com.br/claroCampaigns/subcampaign?sku=000000000000018321&amp;campaign=CBA&amp;subCampaign=&amp;paymentMethod=debitcard&amp;loyalty=true&amp;invoiceType=DIGITAL&amp;city=&amp;state=&amp;processType=migrate&amp;offerPlanId=22285&amp;smartphone=true&amp;utm_source=minhaclaro-deckvendas_app</v>
      </c>
      <c r="C17" t="s">
        <v>163</v>
      </c>
      <c r="F17" t="str">
        <f>A31&amp;B31&amp;C31</f>
        <v xml:space="preserve"> "idcampanha":"03b9f0c2-c55d-4981-8a25-730d70b359d1",</v>
      </c>
    </row>
    <row r="18" spans="1:6" x14ac:dyDescent="0.25">
      <c r="A18" t="s">
        <v>187</v>
      </c>
      <c r="B18" s="5" t="str">
        <f>'TABELA APARELHOS'!Q4&amp;'TABELA APARELHOS'!H14</f>
        <v>https://planoscelular.claro.com.br/claroCampaigns/subcampaign?sku=000000000000018321&amp;campaign=CBA&amp;subCampaign=&amp;paymentMethod=debitcard&amp;loyalty=true&amp;invoiceType=DIGITAL&amp;city=&amp;state=&amp;processType=migrate&amp;offerPlanId=22285&amp;smartphone=true&amp;utm_source=minhaclaro-deckvendas_web</v>
      </c>
      <c r="C18" t="s">
        <v>163</v>
      </c>
      <c r="F18" t="str">
        <f>A32&amp;B32&amp;C32</f>
        <v xml:space="preserve"> "ativo":true,</v>
      </c>
    </row>
    <row r="19" spans="1:6" x14ac:dyDescent="0.25">
      <c r="A19" t="s">
        <v>188</v>
      </c>
      <c r="B19" s="5" t="str">
        <f>'TABELA APARELHOS'!Q4&amp;'TABELA APARELHOS'!H15</f>
        <v>https://planoscelular.claro.com.br/claroCampaigns/subcampaign?sku=000000000000018321&amp;campaign=CBA&amp;subCampaign=&amp;paymentMethod=debitcard&amp;loyalty=true&amp;invoiceType=DIGITAL&amp;city=&amp;state=&amp;processType=migrate&amp;offerPlanId=22285&amp;smartphone=true&amp;utm_source=minhaclaro-deckvendas_app</v>
      </c>
      <c r="C19" t="s">
        <v>183</v>
      </c>
      <c r="F19" t="str">
        <f>A33&amp;B33&amp;C33</f>
        <v xml:space="preserve"> "codCampanha":"GALAXYA13128GBCTRLPOS",</v>
      </c>
    </row>
    <row r="20" spans="1:6" x14ac:dyDescent="0.25">
      <c r="A20" t="s">
        <v>184</v>
      </c>
      <c r="F20" t="str">
        <f>A34&amp;A35&amp;B35&amp;C35&amp;A36&amp;B36&amp;C36&amp;A37&amp;B37&amp;C37&amp;A38&amp;B38&amp;C38&amp;A39&amp;B39&amp;C39&amp;A40&amp;B40&amp;C40&amp;A41&amp;B41&amp;C41&amp;A42&amp;B42&amp;C42&amp;A43</f>
        <v xml:space="preserve"> "defaultMetaData": "{  \"PRECO_DE\": \"1.589,00\", \"PRECO_POR\": \"889,00\", \"VALOR_PARCELA\": \"37,99\", \"QTD_PARCELA\": \"24\", \"URL_IMG\": \"https://assets.clarobrasil.mobi/ecommerce-config/sales-deck/claro_0_samsung_a13_preto_frente_verso-deck.png\",  \"SELO_ORELHA\": \"\",  \"SELO_TEMPLATE\": \"\",  \"SELO_TEXTO\": \"\"}",</v>
      </c>
    </row>
    <row r="21" spans="1:6" x14ac:dyDescent="0.25">
      <c r="A21" t="s">
        <v>189</v>
      </c>
      <c r="B21" s="10" t="s">
        <v>190</v>
      </c>
      <c r="C21" t="s">
        <v>161</v>
      </c>
      <c r="F21" t="str">
        <f>A44&amp;A45&amp;B45&amp;G47&amp;C45&amp;A46&amp;B46&amp;G46&amp;C46&amp;A47&amp;B47&amp;G47&amp;C47&amp;A48</f>
        <v xml:space="preserve"> "defaultUrlRedirect": "{ \"default\": \"https://planoscelular.claro.com.br/claroCampaigns/subcampaign?sku=000000000000018321&amp;campaign=CBA&amp;subCampaign=&amp;paymentMethod=debitcard&amp;loyalty=true&amp;invoiceType=DIGITAL&amp;city=&amp;state=&amp;processType=migrate&amp;offerPlanId=22382&amp;smartphone=true&amp;utm_source=minhaclaro-deckvendas_app\", \"MCLA\": \"https://planoscelular.claro.com.br/claroCampaigns/subcampaign?sku=000000000000018321&amp;campaign=CBA&amp;subCampaign=&amp;paymentMethod=debitcard&amp;loyalty=true&amp;invoiceType=DIGITAL&amp;city=&amp;state=&amp;processType=migrate&amp;offerPlanId=22382&amp;smartphone=true&amp;utm_source=minhaclaro-deckvendas_web\", \"MCAP\": \"https://planoscelular.claro.com.br/claroCampaigns/subcampaign?sku=000000000000018321&amp;campaign=CBA&amp;subCampaign=&amp;paymentMethod=debitcard&amp;loyalty=true&amp;invoiceType=DIGITAL&amp;city=&amp;state=&amp;processType=migrate&amp;offerPlanId=22382&amp;smartphone=true&amp;utm_source=minhaclaro-deckvendas_app\"}",</v>
      </c>
    </row>
    <row r="22" spans="1:6" x14ac:dyDescent="0.25">
      <c r="A22" t="s">
        <v>191</v>
      </c>
      <c r="C22" t="s">
        <v>161</v>
      </c>
      <c r="F22" t="str">
        <f t="shared" ref="F22:F28" si="1">A49&amp;B49&amp;C49</f>
        <v xml:space="preserve"> "descricao": "Carrossel de Aparelhos - Deck de Vendas",</v>
      </c>
    </row>
    <row r="23" spans="1:6" x14ac:dyDescent="0.25">
      <c r="A23" t="s">
        <v>195</v>
      </c>
      <c r="B23" t="str">
        <f>'TABELA APARELHOS'!H4</f>
        <v>Galaxy A13 128GB</v>
      </c>
      <c r="C23" t="s">
        <v>161</v>
      </c>
      <c r="F23" t="str">
        <f t="shared" si="1"/>
        <v xml:space="preserve"> "segmento":"",</v>
      </c>
    </row>
    <row r="24" spans="1:6" x14ac:dyDescent="0.25">
      <c r="A24" t="s">
        <v>196</v>
      </c>
      <c r="B24">
        <f>'TABELA APARELHOS'!D4</f>
        <v>2</v>
      </c>
      <c r="C24" t="s">
        <v>166</v>
      </c>
      <c r="F24" t="str">
        <f t="shared" si="1"/>
        <v xml:space="preserve"> "nome": "Galaxy A13 128GB",</v>
      </c>
    </row>
    <row r="25" spans="1:6" x14ac:dyDescent="0.25">
      <c r="A25" t="s">
        <v>197</v>
      </c>
      <c r="B25" t="str">
        <f>'TABELA APARELHOS'!G4</f>
        <v>Samsung</v>
      </c>
      <c r="C25" t="s">
        <v>161</v>
      </c>
      <c r="F25" t="str">
        <f t="shared" si="1"/>
        <v xml:space="preserve"> "prioridade":2,</v>
      </c>
    </row>
    <row r="26" spans="1:6" x14ac:dyDescent="0.25">
      <c r="A26" t="s">
        <v>198</v>
      </c>
      <c r="B26" t="str">
        <f>'TABELA APARELHOS'!K4</f>
        <v>Controle 20GB</v>
      </c>
      <c r="C26" t="s">
        <v>161</v>
      </c>
      <c r="F26" t="str">
        <f t="shared" si="1"/>
        <v xml:space="preserve"> "textoPrincipal": "Samsung",</v>
      </c>
    </row>
    <row r="27" spans="1:6" x14ac:dyDescent="0.25">
      <c r="A27" t="s">
        <v>199</v>
      </c>
      <c r="B27" s="10" t="s">
        <v>538</v>
      </c>
      <c r="C27" t="s">
        <v>201</v>
      </c>
      <c r="F27" t="str">
        <f t="shared" si="1"/>
        <v xml:space="preserve"> "textoSecundario": "Pós 50GB",</v>
      </c>
    </row>
    <row r="28" spans="1:6" x14ac:dyDescent="0.25">
      <c r="A28" t="s">
        <v>202</v>
      </c>
      <c r="F28" t="str">
        <f t="shared" si="1"/>
        <v xml:space="preserve"> "tipo": "carrossel_deck_ctrl_pos"</v>
      </c>
    </row>
    <row r="29" spans="1:6" x14ac:dyDescent="0.25">
      <c r="A29" s="68" t="s">
        <v>539</v>
      </c>
      <c r="B29" s="68"/>
      <c r="F29" t="str">
        <f>A56</f>
        <v>}</v>
      </c>
    </row>
    <row r="30" spans="1:6" x14ac:dyDescent="0.25">
      <c r="A30" t="s">
        <v>158</v>
      </c>
    </row>
    <row r="31" spans="1:6" x14ac:dyDescent="0.25">
      <c r="A31" t="s">
        <v>160</v>
      </c>
      <c r="B31" t="str">
        <f>'TABELA APARELHOS'!F4</f>
        <v>03b9f0c2-c55d-4981-8a25-730d70b359d1</v>
      </c>
      <c r="C31" t="s">
        <v>161</v>
      </c>
    </row>
    <row r="32" spans="1:6" x14ac:dyDescent="0.25">
      <c r="A32" t="s">
        <v>164</v>
      </c>
      <c r="B32" s="7" t="str">
        <f>B4</f>
        <v>true</v>
      </c>
      <c r="C32" t="s">
        <v>166</v>
      </c>
    </row>
    <row r="33" spans="1:3" x14ac:dyDescent="0.25">
      <c r="A33" t="s">
        <v>168</v>
      </c>
      <c r="B33" s="1" t="str">
        <f>'TABELA APARELHOS'!I4&amp;"CTRLPOS"</f>
        <v>GALAXYA13128GBCTRLPOS</v>
      </c>
      <c r="C33" t="s">
        <v>161</v>
      </c>
    </row>
    <row r="34" spans="1:3" x14ac:dyDescent="0.25">
      <c r="A34" t="s">
        <v>170</v>
      </c>
    </row>
    <row r="35" spans="1:3" x14ac:dyDescent="0.25">
      <c r="A35" t="s">
        <v>173</v>
      </c>
      <c r="B35" s="8" t="str">
        <f>B7</f>
        <v>1.589,00</v>
      </c>
      <c r="C35" t="s">
        <v>163</v>
      </c>
    </row>
    <row r="36" spans="1:3" x14ac:dyDescent="0.25">
      <c r="A36" t="s">
        <v>176</v>
      </c>
      <c r="B36" t="str">
        <f>'TABELA APARELHOS'!N4</f>
        <v>889,00</v>
      </c>
      <c r="C36" t="s">
        <v>163</v>
      </c>
    </row>
    <row r="37" spans="1:3" x14ac:dyDescent="0.25">
      <c r="A37" t="s">
        <v>177</v>
      </c>
      <c r="B37" s="2">
        <f>INT(B36/B38)+0.99</f>
        <v>37.99</v>
      </c>
      <c r="C37" t="s">
        <v>163</v>
      </c>
    </row>
    <row r="38" spans="1:3" x14ac:dyDescent="0.25">
      <c r="A38" t="s">
        <v>178</v>
      </c>
      <c r="B38" s="9">
        <f>B10</f>
        <v>24</v>
      </c>
      <c r="C38" t="s">
        <v>163</v>
      </c>
    </row>
    <row r="39" spans="1:3" x14ac:dyDescent="0.25">
      <c r="A39" t="s">
        <v>537</v>
      </c>
      <c r="B39" s="7" t="str">
        <f>B11</f>
        <v>claro_0_samsung_a13_preto_frente_verso-deck.png</v>
      </c>
      <c r="C39" t="s">
        <v>163</v>
      </c>
    </row>
    <row r="40" spans="1:3" x14ac:dyDescent="0.25">
      <c r="A40" t="s">
        <v>179</v>
      </c>
      <c r="B40" s="7"/>
      <c r="C40" t="s">
        <v>163</v>
      </c>
    </row>
    <row r="41" spans="1:3" x14ac:dyDescent="0.25">
      <c r="A41" t="s">
        <v>180</v>
      </c>
      <c r="B41" s="7"/>
      <c r="C41" t="s">
        <v>163</v>
      </c>
    </row>
    <row r="42" spans="1:3" x14ac:dyDescent="0.25">
      <c r="A42" t="s">
        <v>181</v>
      </c>
      <c r="B42" s="7"/>
      <c r="C42" t="s">
        <v>183</v>
      </c>
    </row>
    <row r="43" spans="1:3" x14ac:dyDescent="0.25">
      <c r="A43" t="s">
        <v>184</v>
      </c>
    </row>
    <row r="44" spans="1:3" x14ac:dyDescent="0.25">
      <c r="A44" t="s">
        <v>185</v>
      </c>
    </row>
    <row r="45" spans="1:3" x14ac:dyDescent="0.25">
      <c r="A45" t="s">
        <v>186</v>
      </c>
      <c r="B45" t="str">
        <f>'TABELA APARELHOS'!R4&amp;'TABELA APARELHOS'!H15</f>
        <v>https://planoscelular.claro.com.br/claroCampaigns/subcampaign?sku=000000000000018321&amp;campaign=CBA&amp;subCampaign=&amp;paymentMethod=debitcard&amp;loyalty=true&amp;invoiceType=DIGITAL&amp;city=&amp;state=&amp;processType=migrate&amp;offerPlanId=22382&amp;smartphone=true&amp;utm_source=minhaclaro-deckvendas_app</v>
      </c>
      <c r="C45" t="s">
        <v>163</v>
      </c>
    </row>
    <row r="46" spans="1:3" x14ac:dyDescent="0.25">
      <c r="A46" t="s">
        <v>187</v>
      </c>
      <c r="B46" t="str">
        <f>'TABELA APARELHOS'!R4&amp;'TABELA APARELHOS'!H14</f>
        <v>https://planoscelular.claro.com.br/claroCampaigns/subcampaign?sku=000000000000018321&amp;campaign=CBA&amp;subCampaign=&amp;paymentMethod=debitcard&amp;loyalty=true&amp;invoiceType=DIGITAL&amp;city=&amp;state=&amp;processType=migrate&amp;offerPlanId=22382&amp;smartphone=true&amp;utm_source=minhaclaro-deckvendas_web</v>
      </c>
      <c r="C46" t="s">
        <v>163</v>
      </c>
    </row>
    <row r="47" spans="1:3" x14ac:dyDescent="0.25">
      <c r="A47" t="s">
        <v>188</v>
      </c>
      <c r="B47" t="str">
        <f>'TABELA APARELHOS'!R4&amp;'TABELA APARELHOS'!H15</f>
        <v>https://planoscelular.claro.com.br/claroCampaigns/subcampaign?sku=000000000000018321&amp;campaign=CBA&amp;subCampaign=&amp;paymentMethod=debitcard&amp;loyalty=true&amp;invoiceType=DIGITAL&amp;city=&amp;state=&amp;processType=migrate&amp;offerPlanId=22382&amp;smartphone=true&amp;utm_source=minhaclaro-deckvendas_app</v>
      </c>
      <c r="C47" t="s">
        <v>183</v>
      </c>
    </row>
    <row r="48" spans="1:3" x14ac:dyDescent="0.25">
      <c r="A48" t="s">
        <v>184</v>
      </c>
    </row>
    <row r="49" spans="1:3" x14ac:dyDescent="0.25">
      <c r="A49" t="s">
        <v>189</v>
      </c>
      <c r="B49" s="7" t="str">
        <f>B21</f>
        <v>Carrossel de Aparelhos - Deck de Vendas</v>
      </c>
      <c r="C49" t="s">
        <v>161</v>
      </c>
    </row>
    <row r="50" spans="1:3" x14ac:dyDescent="0.25">
      <c r="A50" t="s">
        <v>191</v>
      </c>
      <c r="C50" t="s">
        <v>161</v>
      </c>
    </row>
    <row r="51" spans="1:3" x14ac:dyDescent="0.25">
      <c r="A51" t="s">
        <v>195</v>
      </c>
      <c r="B51" s="7" t="str">
        <f>B23</f>
        <v>Galaxy A13 128GB</v>
      </c>
      <c r="C51" t="s">
        <v>161</v>
      </c>
    </row>
    <row r="52" spans="1:3" x14ac:dyDescent="0.25">
      <c r="A52" t="s">
        <v>196</v>
      </c>
      <c r="B52" s="7">
        <f>B24</f>
        <v>2</v>
      </c>
      <c r="C52" t="s">
        <v>166</v>
      </c>
    </row>
    <row r="53" spans="1:3" x14ac:dyDescent="0.25">
      <c r="A53" t="s">
        <v>197</v>
      </c>
      <c r="B53" s="7" t="str">
        <f>B25</f>
        <v>Samsung</v>
      </c>
      <c r="C53" t="s">
        <v>161</v>
      </c>
    </row>
    <row r="54" spans="1:3" x14ac:dyDescent="0.25">
      <c r="A54" t="s">
        <v>198</v>
      </c>
      <c r="B54" t="str">
        <f>'TABELA APARELHOS'!M4</f>
        <v>Pós 50GB</v>
      </c>
      <c r="C54" t="s">
        <v>161</v>
      </c>
    </row>
    <row r="55" spans="1:3" x14ac:dyDescent="0.25">
      <c r="A55" t="s">
        <v>199</v>
      </c>
      <c r="B55" s="10" t="s">
        <v>540</v>
      </c>
      <c r="C55" t="s">
        <v>201</v>
      </c>
    </row>
    <row r="56" spans="1:3" x14ac:dyDescent="0.25">
      <c r="A56" t="s">
        <v>440</v>
      </c>
    </row>
  </sheetData>
  <mergeCells count="2">
    <mergeCell ref="A29:B29"/>
    <mergeCell ref="A1:B1"/>
  </mergeCells>
  <hyperlinks>
    <hyperlink ref="B17" r:id="rId1" display="https://planoscelular.claro.com.br/claroCampaigns/subcampaign?sku=000000000000018259&amp;campaign=CBA&amp;subCampaign=S45&amp;paymentMethod=debitcard&amp;loyalty=true&amp;invoiceType=DIGITAL&amp;city=&amp;state=&amp;processType=migrate&amp;offerPlanId=22285&amp;smartphone=true" xr:uid="{D479CD71-3118-4B23-95C8-E8131A8C3A28}"/>
    <hyperlink ref="B18" r:id="rId2" display="https://planoscelular.claro.com.br/claroCampaigns/subcampaign?sku=000000000000018259&amp;campaign=CBA&amp;subCampaign=S45&amp;paymentMethod=debitcard&amp;loyalty=true&amp;invoiceType=DIGITAL&amp;city=&amp;state=&amp;processType=migrate&amp;offerPlanId=22285&amp;smartphone=true" xr:uid="{E931C3D7-F82E-47F2-884B-9AC6884A5E8D}"/>
    <hyperlink ref="B19" r:id="rId3" display="https://planoscelular.claro.com.br/claroCampaigns/subcampaign?sku=000000000000018259&amp;campaign=CBA&amp;subCampaign=S45&amp;paymentMethod=debitcard&amp;loyalty=true&amp;invoiceType=DIGITAL&amp;city=&amp;state=&amp;processType=migrate&amp;offerPlanId=22285&amp;smartphone=true" xr:uid="{E6818512-5B86-4679-9B12-8A39CD4B3977}"/>
  </hyperlinks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8C58F-9773-4EB2-AF4A-51871AEDF38C}">
  <sheetPr codeName="Planilha16">
    <tabColor theme="4" tint="0.39997558519241921"/>
  </sheetPr>
  <dimension ref="A1:K91"/>
  <sheetViews>
    <sheetView topLeftCell="A40" workbookViewId="0">
      <selection activeCell="D74" sqref="D74"/>
    </sheetView>
  </sheetViews>
  <sheetFormatPr defaultRowHeight="15" x14ac:dyDescent="0.25"/>
  <cols>
    <col min="1" max="1" width="76.28515625" customWidth="1"/>
    <col min="2" max="2" width="37.140625" customWidth="1"/>
    <col min="3" max="3" width="7" customWidth="1"/>
    <col min="4" max="4" width="42.7109375" customWidth="1"/>
    <col min="5" max="5" width="37.140625" customWidth="1"/>
    <col min="7" max="7" width="54.28515625" customWidth="1"/>
    <col min="8" max="8" width="37.140625" customWidth="1"/>
    <col min="10" max="10" width="14.7109375" customWidth="1"/>
  </cols>
  <sheetData>
    <row r="1" spans="1:11" x14ac:dyDescent="0.25">
      <c r="A1" s="68" t="s">
        <v>153</v>
      </c>
      <c r="B1" s="68"/>
      <c r="D1" s="68" t="s">
        <v>154</v>
      </c>
      <c r="E1" s="68"/>
      <c r="G1" s="68" t="s">
        <v>155</v>
      </c>
      <c r="H1" s="68"/>
      <c r="J1" t="s">
        <v>156</v>
      </c>
      <c r="K1" s="5" t="s">
        <v>157</v>
      </c>
    </row>
    <row r="2" spans="1:11" x14ac:dyDescent="0.25">
      <c r="A2" t="s">
        <v>158</v>
      </c>
      <c r="D2" t="s">
        <v>158</v>
      </c>
      <c r="G2" t="s">
        <v>158</v>
      </c>
    </row>
    <row r="3" spans="1:11" x14ac:dyDescent="0.25">
      <c r="A3" t="s">
        <v>160</v>
      </c>
      <c r="B3" t="str">
        <f>'NOVA TABELA APARELHOS'!E4</f>
        <v>cca7287d-9d24-40f2-afc9-6d6b8eaf3e31</v>
      </c>
      <c r="C3" t="s">
        <v>161</v>
      </c>
      <c r="D3" t="s">
        <v>160</v>
      </c>
      <c r="E3">
        <f>'NOVA TABELA APARELHOS'!F4</f>
        <v>0</v>
      </c>
      <c r="F3" t="s">
        <v>161</v>
      </c>
      <c r="G3" t="s">
        <v>160</v>
      </c>
      <c r="H3">
        <f>'NOVA TABELA APARELHOS'!G4</f>
        <v>0</v>
      </c>
      <c r="I3" t="s">
        <v>161</v>
      </c>
    </row>
    <row r="4" spans="1:11" x14ac:dyDescent="0.25">
      <c r="A4" t="s">
        <v>164</v>
      </c>
      <c r="B4" t="s">
        <v>165</v>
      </c>
      <c r="C4" t="s">
        <v>166</v>
      </c>
      <c r="D4" t="s">
        <v>164</v>
      </c>
      <c r="E4" s="7" t="str">
        <f>B4</f>
        <v>true</v>
      </c>
      <c r="F4" t="s">
        <v>166</v>
      </c>
      <c r="G4" t="s">
        <v>164</v>
      </c>
      <c r="H4" s="7" t="str">
        <f>B4</f>
        <v>true</v>
      </c>
      <c r="I4" t="s">
        <v>166</v>
      </c>
    </row>
    <row r="5" spans="1:11" x14ac:dyDescent="0.25">
      <c r="A5" t="s">
        <v>168</v>
      </c>
      <c r="B5" s="1" t="str">
        <f>'NOVA TABELA APARELHOS'!J4&amp;"PRE"</f>
        <v>MOTOE22128GBPRE</v>
      </c>
      <c r="C5" t="s">
        <v>161</v>
      </c>
      <c r="D5" t="s">
        <v>168</v>
      </c>
      <c r="E5" s="1" t="str">
        <f>'NOVA TABELA APARELHOS'!J4&amp;"CTRL"</f>
        <v>MOTOE22128GBCTRL</v>
      </c>
      <c r="F5" t="s">
        <v>161</v>
      </c>
      <c r="G5" t="s">
        <v>168</v>
      </c>
      <c r="H5" s="1" t="str">
        <f>'NOVA TABELA APARELHOS'!J4&amp;"POS"</f>
        <v>MOTOE22128GBPOS</v>
      </c>
      <c r="I5" t="s">
        <v>161</v>
      </c>
    </row>
    <row r="6" spans="1:11" x14ac:dyDescent="0.25">
      <c r="A6" t="s">
        <v>170</v>
      </c>
      <c r="D6" t="s">
        <v>170</v>
      </c>
      <c r="G6" t="s">
        <v>170</v>
      </c>
    </row>
    <row r="7" spans="1:11" x14ac:dyDescent="0.25">
      <c r="A7" t="s">
        <v>173</v>
      </c>
      <c r="B7" s="11" t="str">
        <f>'NOVA TABELA APARELHOS'!K4</f>
        <v>1.189,00</v>
      </c>
      <c r="C7" t="s">
        <v>163</v>
      </c>
      <c r="D7" t="s">
        <v>173</v>
      </c>
      <c r="E7" s="8" t="str">
        <f>B7</f>
        <v>1.189,00</v>
      </c>
      <c r="F7" t="s">
        <v>163</v>
      </c>
      <c r="G7" t="s">
        <v>173</v>
      </c>
      <c r="H7" s="8" t="str">
        <f>B7</f>
        <v>1.189,00</v>
      </c>
      <c r="I7" t="s">
        <v>163</v>
      </c>
    </row>
    <row r="8" spans="1:11" x14ac:dyDescent="0.25">
      <c r="A8" t="s">
        <v>176</v>
      </c>
      <c r="B8" s="11" t="str">
        <f>'NOVA TABELA APARELHOS'!M4</f>
        <v>889,00</v>
      </c>
      <c r="C8" t="s">
        <v>163</v>
      </c>
      <c r="D8" t="s">
        <v>176</v>
      </c>
      <c r="E8" s="11">
        <f>'NOVA TABELA APARELHOS'!O4</f>
        <v>0</v>
      </c>
      <c r="F8" t="s">
        <v>163</v>
      </c>
      <c r="G8" t="s">
        <v>176</v>
      </c>
      <c r="H8" s="11">
        <f>'NOVA TABELA APARELHOS'!Q4</f>
        <v>0</v>
      </c>
      <c r="I8" t="s">
        <v>163</v>
      </c>
    </row>
    <row r="9" spans="1:11" x14ac:dyDescent="0.25">
      <c r="A9" t="s">
        <v>177</v>
      </c>
      <c r="B9">
        <f>INT(B8/B10)+0.99</f>
        <v>74.989999999999995</v>
      </c>
      <c r="C9" t="s">
        <v>163</v>
      </c>
      <c r="D9" t="s">
        <v>177</v>
      </c>
      <c r="E9" s="2">
        <f>INT(E8/E10)+0.99</f>
        <v>0.99</v>
      </c>
      <c r="F9" t="s">
        <v>163</v>
      </c>
      <c r="G9" t="s">
        <v>177</v>
      </c>
      <c r="H9" s="2">
        <f>INT(H8/H10)+0.99</f>
        <v>0.99</v>
      </c>
      <c r="I9" t="s">
        <v>163</v>
      </c>
    </row>
    <row r="10" spans="1:11" x14ac:dyDescent="0.25">
      <c r="A10" t="s">
        <v>178</v>
      </c>
      <c r="B10" s="6">
        <f>'NOVA TABELA APARELHOS'!R4</f>
        <v>12</v>
      </c>
      <c r="C10" t="s">
        <v>163</v>
      </c>
      <c r="D10" t="s">
        <v>178</v>
      </c>
      <c r="E10" s="9">
        <f>'NOVA TABELA APARELHOS'!R4</f>
        <v>12</v>
      </c>
      <c r="F10" t="s">
        <v>163</v>
      </c>
      <c r="G10" t="s">
        <v>178</v>
      </c>
      <c r="H10" s="9">
        <f>'NOVA TABELA APARELHOS'!R4</f>
        <v>12</v>
      </c>
      <c r="I10" t="s">
        <v>163</v>
      </c>
    </row>
    <row r="11" spans="1:11" x14ac:dyDescent="0.25">
      <c r="A11" t="s">
        <v>174</v>
      </c>
      <c r="B11" t="str">
        <f>K1&amp;'NOVA TABELA APARELHOS'!S4</f>
        <v>https://assets.clarobrasil.mobi/ecommerce-config/sales-deck/claro_0_motorola_E22_128GB_dark_grove.png</v>
      </c>
      <c r="C11" t="s">
        <v>163</v>
      </c>
      <c r="D11" t="s">
        <v>174</v>
      </c>
      <c r="E11" s="7" t="str">
        <f t="shared" ref="E11:E16" si="0">B11</f>
        <v>https://assets.clarobrasil.mobi/ecommerce-config/sales-deck/claro_0_motorola_E22_128GB_dark_grove.png</v>
      </c>
      <c r="F11" t="s">
        <v>163</v>
      </c>
      <c r="G11" t="s">
        <v>174</v>
      </c>
      <c r="H11" s="7" t="str">
        <f t="shared" ref="H11:H16" si="1">B11</f>
        <v>https://assets.clarobrasil.mobi/ecommerce-config/sales-deck/claro_0_motorola_E22_128GB_dark_grove.png</v>
      </c>
      <c r="I11" t="s">
        <v>163</v>
      </c>
    </row>
    <row r="12" spans="1:11" x14ac:dyDescent="0.25">
      <c r="A12" t="s">
        <v>179</v>
      </c>
      <c r="B12" t="str">
        <f>IF('NOVA TABELA APARELHOS'!T4=0,"",K1&amp;'NOVA TABELA APARELHOS'!T4)</f>
        <v/>
      </c>
      <c r="C12" t="s">
        <v>163</v>
      </c>
      <c r="D12" t="s">
        <v>179</v>
      </c>
      <c r="E12" s="7" t="str">
        <f t="shared" si="0"/>
        <v/>
      </c>
      <c r="F12" t="s">
        <v>163</v>
      </c>
      <c r="G12" t="s">
        <v>179</v>
      </c>
      <c r="H12" s="7" t="str">
        <f t="shared" si="1"/>
        <v/>
      </c>
      <c r="I12" t="s">
        <v>163</v>
      </c>
    </row>
    <row r="13" spans="1:11" x14ac:dyDescent="0.25">
      <c r="A13" t="s">
        <v>180</v>
      </c>
      <c r="B13" t="str">
        <f>IF('NOVA TABELA APARELHOS'!U4=0,"",'NOVA TABELA APARELHOS'!U4)</f>
        <v/>
      </c>
      <c r="C13" t="s">
        <v>163</v>
      </c>
      <c r="D13" t="s">
        <v>180</v>
      </c>
      <c r="E13" s="7" t="str">
        <f t="shared" si="0"/>
        <v/>
      </c>
      <c r="F13" t="s">
        <v>163</v>
      </c>
      <c r="G13" t="s">
        <v>180</v>
      </c>
      <c r="H13" s="7" t="str">
        <f t="shared" si="1"/>
        <v/>
      </c>
      <c r="I13" t="s">
        <v>163</v>
      </c>
    </row>
    <row r="14" spans="1:11" x14ac:dyDescent="0.25">
      <c r="A14" t="s">
        <v>181</v>
      </c>
      <c r="B14" t="str">
        <f>IF('NOVA TABELA APARELHOS'!V4=0,"",'NOVA TABELA APARELHOS'!V4)</f>
        <v/>
      </c>
      <c r="C14" t="s">
        <v>163</v>
      </c>
      <c r="D14" t="s">
        <v>181</v>
      </c>
      <c r="E14" s="7" t="str">
        <f t="shared" si="0"/>
        <v/>
      </c>
      <c r="F14" t="s">
        <v>163</v>
      </c>
      <c r="G14" t="s">
        <v>181</v>
      </c>
      <c r="H14" s="7" t="str">
        <f t="shared" si="1"/>
        <v/>
      </c>
      <c r="I14" t="s">
        <v>163</v>
      </c>
    </row>
    <row r="15" spans="1:11" x14ac:dyDescent="0.25">
      <c r="A15" t="s">
        <v>182</v>
      </c>
      <c r="B15" t="str">
        <f>IF('NOVA TABELA APARELHOS'!W4=0,"",K1&amp;'NOVA TABELA APARELHOS'!W4)</f>
        <v/>
      </c>
      <c r="C15" t="s">
        <v>163</v>
      </c>
      <c r="D15" t="s">
        <v>182</v>
      </c>
      <c r="E15" s="7" t="str">
        <f t="shared" si="0"/>
        <v/>
      </c>
      <c r="F15" t="s">
        <v>163</v>
      </c>
      <c r="G15" t="s">
        <v>182</v>
      </c>
      <c r="H15" s="7" t="str">
        <f t="shared" si="1"/>
        <v/>
      </c>
      <c r="I15" t="s">
        <v>163</v>
      </c>
    </row>
    <row r="16" spans="1:11" x14ac:dyDescent="0.25">
      <c r="A16" t="s">
        <v>541</v>
      </c>
      <c r="B16" t="str">
        <f>'NOVA TABELA APARELHOS'!X4</f>
        <v>moto_e22_128gb</v>
      </c>
      <c r="C16" t="s">
        <v>183</v>
      </c>
      <c r="D16" t="s">
        <v>541</v>
      </c>
      <c r="E16" s="7" t="str">
        <f t="shared" si="0"/>
        <v>moto_e22_128gb</v>
      </c>
      <c r="F16" t="s">
        <v>183</v>
      </c>
      <c r="G16" t="s">
        <v>541</v>
      </c>
      <c r="H16" s="7" t="str">
        <f t="shared" si="1"/>
        <v>moto_e22_128gb</v>
      </c>
      <c r="I16" t="s">
        <v>183</v>
      </c>
    </row>
    <row r="17" spans="1:9" x14ac:dyDescent="0.25">
      <c r="A17" t="s">
        <v>184</v>
      </c>
      <c r="D17" t="s">
        <v>184</v>
      </c>
      <c r="G17" t="s">
        <v>184</v>
      </c>
    </row>
    <row r="18" spans="1:9" x14ac:dyDescent="0.25">
      <c r="A18" t="s">
        <v>185</v>
      </c>
      <c r="D18" t="s">
        <v>185</v>
      </c>
      <c r="G18" t="s">
        <v>185</v>
      </c>
    </row>
    <row r="19" spans="1:9" x14ac:dyDescent="0.25">
      <c r="A19" t="s">
        <v>186</v>
      </c>
      <c r="B19" s="5" t="str">
        <f>'NOVA TABELA APARELHOS'!Y4&amp;'NOVA TABELA APARELHOS'!I45</f>
        <v>https://planoscelular.claro.com.br/claroCampaigns/subcampaign?sku=000000000000018538&amp;campaign=CBA&amp;subCampaign=&amp;paymentMethod=debitcard&amp;loyalty=true&amp;invoiceType=DIGITAL&amp;city=&amp;state=&amp;processType=migrate&amp;offerPlanId=22285&amp;smartphone=true&amp;utm_source=minhaclaro-deckvendas_app&amp;utm_medium=carrossel_deck&amp;utm_campaign=aparelhosmoto_e22_128gb</v>
      </c>
      <c r="C19" t="s">
        <v>163</v>
      </c>
      <c r="D19" t="s">
        <v>186</v>
      </c>
      <c r="E19" t="str">
        <f>'NOVA TABELA APARELHOS'!Z4&amp;'NOVA TABELA APARELHOS'!I45</f>
        <v>&amp;utm_source=minhaclaro-deckvendas_app&amp;utm_medium=carrossel_deck&amp;utm_campaign=aparelhosmoto_e22_128gb</v>
      </c>
      <c r="F19" t="s">
        <v>163</v>
      </c>
      <c r="G19" t="s">
        <v>186</v>
      </c>
      <c r="H19" t="str">
        <f>'NOVA TABELA APARELHOS'!AA4&amp;'NOVA TABELA APARELHOS'!I45</f>
        <v>&amp;utm_source=minhaclaro-deckvendas_app&amp;utm_medium=carrossel_deck&amp;utm_campaign=aparelhosmoto_e22_128gb</v>
      </c>
      <c r="I19" t="s">
        <v>163</v>
      </c>
    </row>
    <row r="20" spans="1:9" x14ac:dyDescent="0.25">
      <c r="A20" t="s">
        <v>187</v>
      </c>
      <c r="B20" s="5" t="str">
        <f>'NOVA TABELA APARELHOS'!Y4&amp;'NOVA TABELA APARELHOS'!I44</f>
        <v>https://planoscelular.claro.com.br/claroCampaigns/subcampaign?sku=000000000000018538&amp;campaign=CBA&amp;subCampaign=&amp;paymentMethod=debitcard&amp;loyalty=true&amp;invoiceType=DIGITAL&amp;city=&amp;state=&amp;processType=migrate&amp;offerPlanId=22285&amp;smartphone=true&amp;utm_source=minhaclaro-deckvendas_web&amp;utm_medium=carrossel_deck&amp;utm_campaign=aparelhosmoto_e22_128gb</v>
      </c>
      <c r="C20" t="s">
        <v>163</v>
      </c>
      <c r="D20" t="s">
        <v>187</v>
      </c>
      <c r="E20" t="str">
        <f>'NOVA TABELA APARELHOS'!Z4&amp;'NOVA TABELA APARELHOS'!I44</f>
        <v>&amp;utm_source=minhaclaro-deckvendas_web&amp;utm_medium=carrossel_deck&amp;utm_campaign=aparelhosmoto_e22_128gb</v>
      </c>
      <c r="F20" t="s">
        <v>163</v>
      </c>
      <c r="G20" t="s">
        <v>187</v>
      </c>
      <c r="H20" t="str">
        <f>'NOVA TABELA APARELHOS'!AA4&amp;'NOVA TABELA APARELHOS'!I44</f>
        <v>&amp;utm_source=minhaclaro-deckvendas_web&amp;utm_medium=carrossel_deck&amp;utm_campaign=aparelhosmoto_e22_128gb</v>
      </c>
      <c r="I20" t="s">
        <v>163</v>
      </c>
    </row>
    <row r="21" spans="1:9" x14ac:dyDescent="0.25">
      <c r="A21" t="s">
        <v>188</v>
      </c>
      <c r="B21" s="5" t="str">
        <f>'NOVA TABELA APARELHOS'!Y4&amp;'NOVA TABELA APARELHOS'!I45</f>
        <v>https://planoscelular.claro.com.br/claroCampaigns/subcampaign?sku=000000000000018538&amp;campaign=CBA&amp;subCampaign=&amp;paymentMethod=debitcard&amp;loyalty=true&amp;invoiceType=DIGITAL&amp;city=&amp;state=&amp;processType=migrate&amp;offerPlanId=22285&amp;smartphone=true&amp;utm_source=minhaclaro-deckvendas_app&amp;utm_medium=carrossel_deck&amp;utm_campaign=aparelhosmoto_e22_128gb</v>
      </c>
      <c r="C21" t="s">
        <v>183</v>
      </c>
      <c r="D21" t="s">
        <v>188</v>
      </c>
      <c r="E21" t="str">
        <f>'NOVA TABELA APARELHOS'!Z4&amp;'NOVA TABELA APARELHOS'!I45</f>
        <v>&amp;utm_source=minhaclaro-deckvendas_app&amp;utm_medium=carrossel_deck&amp;utm_campaign=aparelhosmoto_e22_128gb</v>
      </c>
      <c r="F21" t="s">
        <v>183</v>
      </c>
      <c r="G21" t="s">
        <v>188</v>
      </c>
      <c r="H21" t="str">
        <f>'NOVA TABELA APARELHOS'!AA4&amp;'NOVA TABELA APARELHOS'!I45</f>
        <v>&amp;utm_source=minhaclaro-deckvendas_app&amp;utm_medium=carrossel_deck&amp;utm_campaign=aparelhosmoto_e22_128gb</v>
      </c>
      <c r="I21" t="s">
        <v>183</v>
      </c>
    </row>
    <row r="22" spans="1:9" x14ac:dyDescent="0.25">
      <c r="A22" t="s">
        <v>184</v>
      </c>
      <c r="D22" t="s">
        <v>184</v>
      </c>
      <c r="G22" t="s">
        <v>184</v>
      </c>
    </row>
    <row r="23" spans="1:9" x14ac:dyDescent="0.25">
      <c r="A23" t="s">
        <v>189</v>
      </c>
      <c r="B23" s="10" t="s">
        <v>190</v>
      </c>
      <c r="C23" t="s">
        <v>161</v>
      </c>
      <c r="D23" t="s">
        <v>189</v>
      </c>
      <c r="E23" s="7" t="str">
        <f>B23</f>
        <v>Carrossel de Aparelhos - Deck de Vendas</v>
      </c>
      <c r="F23" t="s">
        <v>161</v>
      </c>
      <c r="G23" t="s">
        <v>189</v>
      </c>
      <c r="H23" s="7" t="str">
        <f>B23</f>
        <v>Carrossel de Aparelhos - Deck de Vendas</v>
      </c>
      <c r="I23" t="s">
        <v>161</v>
      </c>
    </row>
    <row r="24" spans="1:9" x14ac:dyDescent="0.25">
      <c r="A24" t="s">
        <v>191</v>
      </c>
      <c r="B24" t="s">
        <v>192</v>
      </c>
      <c r="C24" t="s">
        <v>161</v>
      </c>
      <c r="D24" t="s">
        <v>191</v>
      </c>
      <c r="E24" t="s">
        <v>193</v>
      </c>
      <c r="F24" t="s">
        <v>161</v>
      </c>
      <c r="G24" t="s">
        <v>191</v>
      </c>
      <c r="H24" t="s">
        <v>194</v>
      </c>
      <c r="I24" t="s">
        <v>161</v>
      </c>
    </row>
    <row r="25" spans="1:9" x14ac:dyDescent="0.25">
      <c r="A25" t="s">
        <v>195</v>
      </c>
      <c r="B25" t="str">
        <f>'NOVA TABELA APARELHOS'!I4</f>
        <v>Moto E22 128GB</v>
      </c>
      <c r="C25" t="s">
        <v>161</v>
      </c>
      <c r="D25" t="s">
        <v>195</v>
      </c>
      <c r="E25" s="7" t="str">
        <f>B25</f>
        <v>Moto E22 128GB</v>
      </c>
      <c r="F25" t="s">
        <v>161</v>
      </c>
      <c r="G25" t="s">
        <v>195</v>
      </c>
      <c r="H25" s="7" t="str">
        <f>B25</f>
        <v>Moto E22 128GB</v>
      </c>
      <c r="I25" t="s">
        <v>161</v>
      </c>
    </row>
    <row r="26" spans="1:9" x14ac:dyDescent="0.25">
      <c r="A26" t="s">
        <v>196</v>
      </c>
      <c r="B26">
        <f>'NOVA TABELA APARELHOS'!D4</f>
        <v>1</v>
      </c>
      <c r="C26" t="s">
        <v>166</v>
      </c>
      <c r="D26" t="s">
        <v>196</v>
      </c>
      <c r="E26" s="7">
        <f>B26</f>
        <v>1</v>
      </c>
      <c r="F26" t="s">
        <v>166</v>
      </c>
      <c r="G26" t="s">
        <v>196</v>
      </c>
      <c r="H26" s="7">
        <f>B26</f>
        <v>1</v>
      </c>
      <c r="I26" t="s">
        <v>166</v>
      </c>
    </row>
    <row r="27" spans="1:9" x14ac:dyDescent="0.25">
      <c r="A27" t="s">
        <v>197</v>
      </c>
      <c r="B27" t="str">
        <f>'NOVA TABELA APARELHOS'!H4</f>
        <v>Motorola</v>
      </c>
      <c r="C27" t="s">
        <v>161</v>
      </c>
      <c r="D27" t="s">
        <v>197</v>
      </c>
      <c r="E27" s="7" t="str">
        <f>B27</f>
        <v>Motorola</v>
      </c>
      <c r="F27" t="s">
        <v>161</v>
      </c>
      <c r="G27" t="s">
        <v>197</v>
      </c>
      <c r="H27" s="7" t="str">
        <f>B27</f>
        <v>Motorola</v>
      </c>
      <c r="I27" t="s">
        <v>161</v>
      </c>
    </row>
    <row r="28" spans="1:9" x14ac:dyDescent="0.25">
      <c r="A28" t="s">
        <v>198</v>
      </c>
      <c r="B28" t="str">
        <f>'NOVA TABELA APARELHOS'!L4</f>
        <v>Controle 20GB</v>
      </c>
      <c r="C28" t="s">
        <v>161</v>
      </c>
      <c r="D28" t="s">
        <v>198</v>
      </c>
      <c r="E28">
        <f>'NOVA TABELA APARELHOS'!N4</f>
        <v>0</v>
      </c>
      <c r="F28" t="s">
        <v>161</v>
      </c>
      <c r="G28" t="s">
        <v>198</v>
      </c>
      <c r="H28" t="str">
        <f>IF('NOVA TABELA APARELHOS'!P4=0,"",'NOVA TABELA APARELHOS'!P4)</f>
        <v/>
      </c>
      <c r="I28" t="s">
        <v>161</v>
      </c>
    </row>
    <row r="29" spans="1:9" x14ac:dyDescent="0.25">
      <c r="A29" t="s">
        <v>199</v>
      </c>
      <c r="B29" s="10" t="s">
        <v>542</v>
      </c>
      <c r="C29" t="s">
        <v>201</v>
      </c>
      <c r="D29" t="s">
        <v>199</v>
      </c>
      <c r="E29" s="10" t="s">
        <v>542</v>
      </c>
      <c r="F29" t="s">
        <v>201</v>
      </c>
      <c r="G29" t="s">
        <v>199</v>
      </c>
      <c r="H29" s="10" t="s">
        <v>542</v>
      </c>
      <c r="I29" t="s">
        <v>201</v>
      </c>
    </row>
    <row r="30" spans="1:9" x14ac:dyDescent="0.25">
      <c r="A30" t="s">
        <v>202</v>
      </c>
      <c r="D30" t="s">
        <v>202</v>
      </c>
      <c r="G30" t="s">
        <v>202</v>
      </c>
    </row>
    <row r="33" spans="1:2" x14ac:dyDescent="0.25">
      <c r="A33" s="24" t="s">
        <v>203</v>
      </c>
      <c r="B33" t="s">
        <v>159</v>
      </c>
    </row>
    <row r="34" spans="1:2" x14ac:dyDescent="0.25">
      <c r="A34" t="str">
        <f>A2</f>
        <v>{</v>
      </c>
    </row>
    <row r="35" spans="1:2" x14ac:dyDescent="0.25">
      <c r="A35" t="str">
        <f>A3&amp;B3&amp;C3</f>
        <v xml:space="preserve"> "idcampanha":"cca7287d-9d24-40f2-afc9-6d6b8eaf3e31",</v>
      </c>
    </row>
    <row r="36" spans="1:2" x14ac:dyDescent="0.25">
      <c r="A36" t="str">
        <f>A4&amp;B4&amp;C4</f>
        <v xml:space="preserve"> "ativo":true,</v>
      </c>
    </row>
    <row r="37" spans="1:2" x14ac:dyDescent="0.25">
      <c r="A37" t="str">
        <f>A5&amp;B5&amp;C5</f>
        <v xml:space="preserve"> "codCampanha":"MOTOE22128GBPRE",</v>
      </c>
    </row>
    <row r="38" spans="1:2" x14ac:dyDescent="0.25">
      <c r="A38" t="str">
        <f>A6&amp;B33&amp;A7&amp;B7&amp;C7&amp;A8&amp;B8&amp;C8&amp;A9&amp;B9&amp;C9&amp;A10&amp;B10&amp;C10&amp;A11&amp;B11&amp;C11&amp;A12&amp;B12&amp;C12&amp;A13&amp;B13&amp;C13&amp;A14&amp;B14&amp;C14&amp;A15&amp;B15&amp;C15&amp;A16&amp;B16&amp;C16&amp;A17</f>
        <v xml:space="preserve"> "defaultMetaData": "{  \"TEMPLATE\": \"smartphones\",  \"PRECO_DE\": \"1.189,00\", \"PRECO_POR\": \"889,00\", \"VALOR_PARCELA\": \"74,99\", \"QTD_PARCELA\": \"12\", \"URL_IMG\": \"https://assets.clarobrasil.mobi/ecommerce-config/sales-deck/claro_0_motorola_E22_128GB_dark_grove.png\",  \"SELO_ORELHA\": \"\",  \"SELO_TEMPLATE\": \"\",  \"SELO_TEXTO\": \"\",  \"SELO_BRINDE\": \"\",  \"TAG\": \"aparelhos:moto_e22_128gb\"}",</v>
      </c>
    </row>
    <row r="39" spans="1:2" x14ac:dyDescent="0.25">
      <c r="A39" t="str">
        <f>A18&amp;A19&amp;B19&amp;C19&amp;A20&amp;B20&amp;C20&amp;A21&amp;B21&amp;C21&amp;A22</f>
        <v xml:space="preserve"> "defaultUrlRedirect": "{ \"default\": \"https://planoscelular.claro.com.br/claroCampaigns/subcampaign?sku=000000000000018538&amp;campaign=CBA&amp;subCampaign=&amp;paymentMethod=debitcard&amp;loyalty=true&amp;invoiceType=DIGITAL&amp;city=&amp;state=&amp;processType=migrate&amp;offerPlanId=22285&amp;smartphone=true&amp;utm_source=minhaclaro-deckvendas_app&amp;utm_medium=carrossel_deck&amp;utm_campaign=aparelhosmoto_e22_128gb\", \"MCLA\": \"https://planoscelular.claro.com.br/claroCampaigns/subcampaign?sku=000000000000018538&amp;campaign=CBA&amp;subCampaign=&amp;paymentMethod=debitcard&amp;loyalty=true&amp;invoiceType=DIGITAL&amp;city=&amp;state=&amp;processType=migrate&amp;offerPlanId=22285&amp;smartphone=true&amp;utm_source=minhaclaro-deckvendas_web&amp;utm_medium=carrossel_deck&amp;utm_campaign=aparelhosmoto_e22_128gb\", \"MCAP\": \"https://planoscelular.claro.com.br/claroCampaigns/subcampaign?sku=000000000000018538&amp;campaign=CBA&amp;subCampaign=&amp;paymentMethod=debitcard&amp;loyalty=true&amp;invoiceType=DIGITAL&amp;city=&amp;state=&amp;processType=migrate&amp;offerPlanId=22285&amp;smartphone=true&amp;utm_source=minhaclaro-deckvendas_app&amp;utm_medium=carrossel_deck&amp;utm_campaign=aparelhosmoto_e22_128gb\"}",</v>
      </c>
    </row>
    <row r="40" spans="1:2" x14ac:dyDescent="0.25">
      <c r="A40" t="str">
        <f t="shared" ref="A40:A46" si="2">A23&amp;B23&amp;C23</f>
        <v xml:space="preserve"> "descricao": "Carrossel de Aparelhos - Deck de Vendas",</v>
      </c>
    </row>
    <row r="41" spans="1:2" x14ac:dyDescent="0.25">
      <c r="A41" t="str">
        <f t="shared" si="2"/>
        <v xml:space="preserve"> "segmento":"PRE_PAGO",</v>
      </c>
    </row>
    <row r="42" spans="1:2" x14ac:dyDescent="0.25">
      <c r="A42" t="str">
        <f t="shared" si="2"/>
        <v xml:space="preserve"> "nome": "Moto E22 128GB",</v>
      </c>
    </row>
    <row r="43" spans="1:2" x14ac:dyDescent="0.25">
      <c r="A43" t="str">
        <f t="shared" si="2"/>
        <v xml:space="preserve"> "prioridade":1,</v>
      </c>
    </row>
    <row r="44" spans="1:2" x14ac:dyDescent="0.25">
      <c r="A44" t="str">
        <f t="shared" si="2"/>
        <v xml:space="preserve"> "textoPrincipal": "Motorola",</v>
      </c>
    </row>
    <row r="45" spans="1:2" x14ac:dyDescent="0.25">
      <c r="A45" t="str">
        <f t="shared" si="2"/>
        <v xml:space="preserve"> "textoSecundario": "Controle 20GB",</v>
      </c>
    </row>
    <row r="46" spans="1:2" x14ac:dyDescent="0.25">
      <c r="A46" t="str">
        <f t="shared" si="2"/>
        <v xml:space="preserve"> "tipo": "carrossel_deck_produtos"</v>
      </c>
    </row>
    <row r="47" spans="1:2" x14ac:dyDescent="0.25">
      <c r="A47" t="str">
        <f>A30</f>
        <v>},</v>
      </c>
    </row>
    <row r="48" spans="1:2" x14ac:dyDescent="0.25">
      <c r="A48" t="str">
        <f>D2</f>
        <v>{</v>
      </c>
    </row>
    <row r="49" spans="1:1" x14ac:dyDescent="0.25">
      <c r="A49" t="str">
        <f>D3&amp;E3&amp;F3</f>
        <v xml:space="preserve"> "idcampanha":"0",</v>
      </c>
    </row>
    <row r="50" spans="1:1" x14ac:dyDescent="0.25">
      <c r="A50" t="str">
        <f>D4&amp;E4&amp;F4</f>
        <v xml:space="preserve"> "ativo":true,</v>
      </c>
    </row>
    <row r="51" spans="1:1" x14ac:dyDescent="0.25">
      <c r="A51" t="str">
        <f>D5&amp;E5&amp;F5</f>
        <v xml:space="preserve"> "codCampanha":"MOTOE22128GBCTRL",</v>
      </c>
    </row>
    <row r="52" spans="1:1" x14ac:dyDescent="0.25">
      <c r="A52" t="str">
        <f>D6&amp;B33&amp;D7&amp;E7&amp;F7&amp;D8&amp;E8&amp;F8&amp;D9&amp;E9&amp;F9&amp;D10&amp;E10&amp;F10&amp;D11&amp;E11&amp;F11&amp;D12&amp;E12&amp;F12&amp;D13&amp;E13&amp;F13&amp;D14&amp;E14&amp;F14&amp;D15&amp;E15&amp;F15&amp;D16&amp;E16&amp;F16&amp;D17</f>
        <v xml:space="preserve"> "defaultMetaData": "{  \"TEMPLATE\": \"smartphones\",  \"PRECO_DE\": \"1.189,00\", \"PRECO_POR\": \"0\", \"VALOR_PARCELA\": \"0,99\", \"QTD_PARCELA\": \"12\", \"URL_IMG\": \"https://assets.clarobrasil.mobi/ecommerce-config/sales-deck/claro_0_motorola_E22_128GB_dark_grove.png\",  \"SELO_ORELHA\": \"\",  \"SELO_TEMPLATE\": \"\",  \"SELO_TEXTO\": \"\",  \"SELO_BRINDE\": \"\",  \"TAG\": \"aparelhos:moto_e22_128gb\"}",</v>
      </c>
    </row>
    <row r="53" spans="1:1" x14ac:dyDescent="0.25">
      <c r="A53" t="str">
        <f>D18&amp;D19&amp;E19&amp;F19&amp;D20&amp;E20&amp;F20&amp;D21&amp;E21&amp;F21&amp;D22</f>
        <v xml:space="preserve"> "defaultUrlRedirect": "{ \"default\": \"&amp;utm_source=minhaclaro-deckvendas_app&amp;utm_medium=carrossel_deck&amp;utm_campaign=aparelhosmoto_e22_128gb\", \"MCLA\": \"&amp;utm_source=minhaclaro-deckvendas_web&amp;utm_medium=carrossel_deck&amp;utm_campaign=aparelhosmoto_e22_128gb\", \"MCAP\": \"&amp;utm_source=minhaclaro-deckvendas_app&amp;utm_medium=carrossel_deck&amp;utm_campaign=aparelhosmoto_e22_128gb\"}",</v>
      </c>
    </row>
    <row r="54" spans="1:1" x14ac:dyDescent="0.25">
      <c r="A54" t="str">
        <f t="shared" ref="A54:A60" si="3">D23&amp;E23&amp;F23</f>
        <v xml:space="preserve"> "descricao": "Carrossel de Aparelhos - Deck de Vendas",</v>
      </c>
    </row>
    <row r="55" spans="1:1" x14ac:dyDescent="0.25">
      <c r="A55" t="str">
        <f t="shared" si="3"/>
        <v xml:space="preserve"> "segmento":"CONTROLE,CONTROLE_FACIL",</v>
      </c>
    </row>
    <row r="56" spans="1:1" x14ac:dyDescent="0.25">
      <c r="A56" t="str">
        <f t="shared" si="3"/>
        <v xml:space="preserve"> "nome": "Moto E22 128GB",</v>
      </c>
    </row>
    <row r="57" spans="1:1" x14ac:dyDescent="0.25">
      <c r="A57" t="str">
        <f t="shared" si="3"/>
        <v xml:space="preserve"> "prioridade":1,</v>
      </c>
    </row>
    <row r="58" spans="1:1" x14ac:dyDescent="0.25">
      <c r="A58" t="str">
        <f t="shared" si="3"/>
        <v xml:space="preserve"> "textoPrincipal": "Motorola",</v>
      </c>
    </row>
    <row r="59" spans="1:1" x14ac:dyDescent="0.25">
      <c r="A59" t="str">
        <f t="shared" si="3"/>
        <v xml:space="preserve"> "textoSecundario": "0",</v>
      </c>
    </row>
    <row r="60" spans="1:1" x14ac:dyDescent="0.25">
      <c r="A60" t="str">
        <f t="shared" si="3"/>
        <v xml:space="preserve"> "tipo": "carrossel_deck_produtos"</v>
      </c>
    </row>
    <row r="61" spans="1:1" x14ac:dyDescent="0.25">
      <c r="A61" t="str">
        <f>D30</f>
        <v>},</v>
      </c>
    </row>
    <row r="62" spans="1:1" x14ac:dyDescent="0.25">
      <c r="A62" t="str">
        <f>G2</f>
        <v>{</v>
      </c>
    </row>
    <row r="63" spans="1:1" x14ac:dyDescent="0.25">
      <c r="A63" t="str">
        <f>G3&amp;H3&amp;I3</f>
        <v xml:space="preserve"> "idcampanha":"0",</v>
      </c>
    </row>
    <row r="64" spans="1:1" x14ac:dyDescent="0.25">
      <c r="A64" t="str">
        <f>G4&amp;H4&amp;I4</f>
        <v xml:space="preserve"> "ativo":true,</v>
      </c>
    </row>
    <row r="65" spans="1:1" x14ac:dyDescent="0.25">
      <c r="A65" t="str">
        <f>G5&amp;H5&amp;I5</f>
        <v xml:space="preserve"> "codCampanha":"MOTOE22128GBPOS",</v>
      </c>
    </row>
    <row r="66" spans="1:1" x14ac:dyDescent="0.25">
      <c r="A66" t="str">
        <f>G6&amp;B33&amp;G7&amp;H7&amp;I7&amp;G8&amp;H8&amp;I8&amp;G9&amp;H9&amp;I9&amp;G10&amp;H10&amp;I10&amp;G11&amp;H11&amp;I11&amp;G12&amp;H12&amp;I12&amp;G13&amp;H13&amp;I13&amp;G14&amp;H14&amp;I14&amp;G15&amp;H15&amp;I15&amp;G16&amp;H16&amp;I16&amp;G17</f>
        <v xml:space="preserve"> "defaultMetaData": "{  \"TEMPLATE\": \"smartphones\",  \"PRECO_DE\": \"1.189,00\", \"PRECO_POR\": \"0\", \"VALOR_PARCELA\": \"0,99\", \"QTD_PARCELA\": \"12\", \"URL_IMG\": \"https://assets.clarobrasil.mobi/ecommerce-config/sales-deck/claro_0_motorola_E22_128GB_dark_grove.png\",  \"SELO_ORELHA\": \"\",  \"SELO_TEMPLATE\": \"\",  \"SELO_TEXTO\": \"\",  \"SELO_BRINDE\": \"\",  \"TAG\": \"aparelhos:moto_e22_128gb\"}",</v>
      </c>
    </row>
    <row r="67" spans="1:1" x14ac:dyDescent="0.25">
      <c r="A67" t="str">
        <f>G18&amp;G19&amp;H19&amp;I19&amp;G20&amp;H20&amp;I20&amp;G21&amp;H21&amp;I21&amp;G22</f>
        <v xml:space="preserve"> "defaultUrlRedirect": "{ \"default\": \"&amp;utm_source=minhaclaro-deckvendas_app&amp;utm_medium=carrossel_deck&amp;utm_campaign=aparelhosmoto_e22_128gb\", \"MCLA\": \"&amp;utm_source=minhaclaro-deckvendas_web&amp;utm_medium=carrossel_deck&amp;utm_campaign=aparelhosmoto_e22_128gb\", \"MCAP\": \"&amp;utm_source=minhaclaro-deckvendas_app&amp;utm_medium=carrossel_deck&amp;utm_campaign=aparelhosmoto_e22_128gb\"}",</v>
      </c>
    </row>
    <row r="68" spans="1:1" x14ac:dyDescent="0.25">
      <c r="A68" t="str">
        <f t="shared" ref="A68:A74" si="4">G23&amp;H23&amp;I23</f>
        <v xml:space="preserve"> "descricao": "Carrossel de Aparelhos - Deck de Vendas",</v>
      </c>
    </row>
    <row r="69" spans="1:1" x14ac:dyDescent="0.25">
      <c r="A69" t="str">
        <f t="shared" si="4"/>
        <v xml:space="preserve"> "segmento":"POS_PAGO",</v>
      </c>
    </row>
    <row r="70" spans="1:1" x14ac:dyDescent="0.25">
      <c r="A70" t="str">
        <f t="shared" si="4"/>
        <v xml:space="preserve"> "nome": "Moto E22 128GB",</v>
      </c>
    </row>
    <row r="71" spans="1:1" x14ac:dyDescent="0.25">
      <c r="A71" t="str">
        <f t="shared" si="4"/>
        <v xml:space="preserve"> "prioridade":1,</v>
      </c>
    </row>
    <row r="72" spans="1:1" x14ac:dyDescent="0.25">
      <c r="A72" t="str">
        <f t="shared" si="4"/>
        <v xml:space="preserve"> "textoPrincipal": "Motorola",</v>
      </c>
    </row>
    <row r="73" spans="1:1" x14ac:dyDescent="0.25">
      <c r="A73" t="str">
        <f t="shared" si="4"/>
        <v xml:space="preserve"> "textoSecundario": "",</v>
      </c>
    </row>
    <row r="74" spans="1:1" x14ac:dyDescent="0.25">
      <c r="A74" t="str">
        <f t="shared" si="4"/>
        <v xml:space="preserve"> "tipo": "carrossel_deck_produtos"</v>
      </c>
    </row>
    <row r="75" spans="1:1" x14ac:dyDescent="0.25">
      <c r="A75" t="str">
        <f>G30</f>
        <v>},</v>
      </c>
    </row>
    <row r="77" spans="1:1" x14ac:dyDescent="0.25">
      <c r="A77" s="33" t="s">
        <v>204</v>
      </c>
    </row>
    <row r="78" spans="1:1" x14ac:dyDescent="0.25">
      <c r="A78" t="s">
        <v>158</v>
      </c>
    </row>
    <row r="79" spans="1:1" x14ac:dyDescent="0.25">
      <c r="A79" t="s">
        <v>205</v>
      </c>
    </row>
    <row r="80" spans="1:1" x14ac:dyDescent="0.25">
      <c r="A80" t="s">
        <v>206</v>
      </c>
    </row>
    <row r="81" spans="1:1" x14ac:dyDescent="0.25">
      <c r="A81" t="s">
        <v>543</v>
      </c>
    </row>
    <row r="82" spans="1:1" x14ac:dyDescent="0.25">
      <c r="A82" t="s">
        <v>544</v>
      </c>
    </row>
    <row r="83" spans="1:1" x14ac:dyDescent="0.25">
      <c r="A83" t="s">
        <v>1067</v>
      </c>
    </row>
    <row r="84" spans="1:1" x14ac:dyDescent="0.25">
      <c r="A84" t="s">
        <v>427</v>
      </c>
    </row>
    <row r="85" spans="1:1" x14ac:dyDescent="0.25">
      <c r="A85" t="s">
        <v>210</v>
      </c>
    </row>
    <row r="86" spans="1:1" x14ac:dyDescent="0.25">
      <c r="A86" t="s">
        <v>545</v>
      </c>
    </row>
    <row r="87" spans="1:1" x14ac:dyDescent="0.25">
      <c r="A87" t="s">
        <v>546</v>
      </c>
    </row>
    <row r="88" spans="1:1" x14ac:dyDescent="0.25">
      <c r="A88" t="s">
        <v>213</v>
      </c>
    </row>
    <row r="89" spans="1:1" x14ac:dyDescent="0.25">
      <c r="A89" t="s">
        <v>214</v>
      </c>
    </row>
    <row r="90" spans="1:1" x14ac:dyDescent="0.25">
      <c r="A90" t="s">
        <v>547</v>
      </c>
    </row>
    <row r="91" spans="1:1" x14ac:dyDescent="0.25">
      <c r="A91" t="s">
        <v>202</v>
      </c>
    </row>
  </sheetData>
  <mergeCells count="3">
    <mergeCell ref="A1:B1"/>
    <mergeCell ref="D1:E1"/>
    <mergeCell ref="G1:H1"/>
  </mergeCells>
  <hyperlinks>
    <hyperlink ref="B19" r:id="rId1" display="https://planoscelular.claro.com.br/claroCampaigns/subcampaign?sku=000000000000018259&amp;campaign=CBA&amp;subCampaign=S45&amp;paymentMethod=debitcard&amp;loyalty=true&amp;invoiceType=DIGITAL&amp;city=&amp;state=&amp;processType=migrate&amp;offerPlanId=22285&amp;smartphone=true" xr:uid="{1C9F93A0-BD01-4BA0-B806-00DBEF61B541}"/>
    <hyperlink ref="B20" r:id="rId2" display="https://planoscelular.claro.com.br/claroCampaigns/subcampaign?sku=000000000000018259&amp;campaign=CBA&amp;subCampaign=S45&amp;paymentMethod=debitcard&amp;loyalty=true&amp;invoiceType=DIGITAL&amp;city=&amp;state=&amp;processType=migrate&amp;offerPlanId=22285&amp;smartphone=true" xr:uid="{FC723734-6AA6-4576-9602-3AE2CDD10622}"/>
    <hyperlink ref="B21" r:id="rId3" display="https://planoscelular.claro.com.br/claroCampaigns/subcampaign?sku=000000000000018259&amp;campaign=CBA&amp;subCampaign=S45&amp;paymentMethod=debitcard&amp;loyalty=true&amp;invoiceType=DIGITAL&amp;city=&amp;state=&amp;processType=migrate&amp;offerPlanId=22285&amp;smartphone=true" xr:uid="{AB558D41-A6F7-43B5-ACE8-6DC731C7D309}"/>
    <hyperlink ref="K1" r:id="rId4" xr:uid="{23DC805B-BE21-4ED6-BBD6-F4E79552C06C}"/>
  </hyperlink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34B29-C516-430F-BDF7-CFC487780370}">
  <sheetPr codeName="Planilha21">
    <tabColor theme="4" tint="0.39997558519241921"/>
  </sheetPr>
  <dimension ref="B2:S29"/>
  <sheetViews>
    <sheetView workbookViewId="0">
      <selection activeCell="D4" sqref="D4:S4"/>
    </sheetView>
  </sheetViews>
  <sheetFormatPr defaultRowHeight="15.75" customHeight="1" x14ac:dyDescent="0.25"/>
  <cols>
    <col min="1" max="1" width="3.140625" customWidth="1"/>
    <col min="2" max="2" width="10" customWidth="1"/>
    <col min="3" max="3" width="12.28515625" customWidth="1"/>
    <col min="5" max="5" width="37.42578125" bestFit="1" customWidth="1"/>
    <col min="6" max="6" width="13.140625" customWidth="1"/>
    <col min="7" max="7" width="30.28515625" bestFit="1" customWidth="1"/>
    <col min="8" max="8" width="24.42578125" customWidth="1"/>
    <col min="9" max="9" width="8.7109375" bestFit="1" customWidth="1"/>
    <col min="10" max="10" width="10.140625" bestFit="1" customWidth="1"/>
    <col min="11" max="11" width="6.140625" customWidth="1"/>
    <col min="12" max="12" width="65.85546875" customWidth="1"/>
    <col min="13" max="13" width="29" customWidth="1"/>
    <col min="14" max="14" width="21.5703125" customWidth="1"/>
    <col min="15" max="15" width="28.28515625" customWidth="1"/>
    <col min="16" max="16" width="21.5703125" customWidth="1"/>
    <col min="17" max="17" width="22.5703125" customWidth="1"/>
    <col min="18" max="18" width="11.5703125" customWidth="1"/>
  </cols>
  <sheetData>
    <row r="2" spans="2:19" ht="15.75" customHeight="1" x14ac:dyDescent="0.25">
      <c r="D2" s="23" t="s">
        <v>0</v>
      </c>
      <c r="E2" s="23" t="s">
        <v>217</v>
      </c>
      <c r="F2" s="23" t="s">
        <v>4</v>
      </c>
      <c r="G2" s="23" t="s">
        <v>5</v>
      </c>
      <c r="H2" s="23" t="s">
        <v>6</v>
      </c>
      <c r="I2" s="15" t="s">
        <v>8</v>
      </c>
      <c r="J2" s="13" t="s">
        <v>10</v>
      </c>
      <c r="K2" s="23" t="s">
        <v>11</v>
      </c>
      <c r="L2" s="23" t="s">
        <v>12</v>
      </c>
      <c r="M2" s="23" t="s">
        <v>13</v>
      </c>
      <c r="N2" s="23" t="s">
        <v>14</v>
      </c>
      <c r="O2" s="23" t="s">
        <v>15</v>
      </c>
      <c r="P2" s="23" t="s">
        <v>16</v>
      </c>
      <c r="Q2" s="23" t="s">
        <v>7</v>
      </c>
      <c r="R2" s="23" t="s">
        <v>1306</v>
      </c>
      <c r="S2" s="23" t="s">
        <v>1307</v>
      </c>
    </row>
    <row r="4" spans="2:19" ht="15.75" customHeight="1" x14ac:dyDescent="0.25">
      <c r="B4">
        <v>29</v>
      </c>
      <c r="D4">
        <v>3</v>
      </c>
      <c r="E4" t="s">
        <v>1078</v>
      </c>
      <c r="F4" t="s">
        <v>1289</v>
      </c>
      <c r="G4" t="s">
        <v>1290</v>
      </c>
      <c r="H4" t="s">
        <v>1291</v>
      </c>
      <c r="I4" s="11"/>
      <c r="J4" s="11" t="s">
        <v>1292</v>
      </c>
      <c r="K4">
        <v>12</v>
      </c>
      <c r="L4" t="s">
        <v>1293</v>
      </c>
      <c r="Q4" t="s">
        <v>1294</v>
      </c>
      <c r="R4" t="s">
        <v>1295</v>
      </c>
      <c r="S4" t="s">
        <v>1295</v>
      </c>
    </row>
    <row r="5" spans="2:19" ht="15.75" customHeight="1" x14ac:dyDescent="0.25">
      <c r="I5" s="11"/>
      <c r="J5" s="11"/>
    </row>
    <row r="6" spans="2:19" ht="15.75" customHeight="1" x14ac:dyDescent="0.25">
      <c r="D6" s="23" t="s">
        <v>0</v>
      </c>
      <c r="E6" s="23" t="s">
        <v>217</v>
      </c>
      <c r="F6" s="23" t="s">
        <v>4</v>
      </c>
      <c r="G6" s="23" t="s">
        <v>5</v>
      </c>
      <c r="H6" s="23" t="s">
        <v>6</v>
      </c>
      <c r="I6" s="15" t="s">
        <v>8</v>
      </c>
      <c r="J6" s="13" t="s">
        <v>10</v>
      </c>
      <c r="K6" s="23" t="s">
        <v>11</v>
      </c>
      <c r="L6" s="26" t="s">
        <v>12</v>
      </c>
      <c r="M6" s="26" t="s">
        <v>13</v>
      </c>
      <c r="N6" s="26" t="s">
        <v>14</v>
      </c>
      <c r="O6" s="26" t="s">
        <v>15</v>
      </c>
      <c r="P6" s="26" t="s">
        <v>16</v>
      </c>
      <c r="Q6" s="26" t="s">
        <v>7</v>
      </c>
      <c r="R6" s="23" t="s">
        <v>1306</v>
      </c>
      <c r="S6" s="23" t="s">
        <v>1307</v>
      </c>
    </row>
    <row r="7" spans="2:19" ht="15.75" customHeight="1" x14ac:dyDescent="0.25">
      <c r="C7">
        <v>7</v>
      </c>
      <c r="D7">
        <v>1</v>
      </c>
      <c r="E7" t="s">
        <v>1273</v>
      </c>
      <c r="F7" t="s">
        <v>1274</v>
      </c>
      <c r="G7" t="s">
        <v>1275</v>
      </c>
      <c r="H7" t="s">
        <v>1276</v>
      </c>
      <c r="I7" s="11"/>
      <c r="J7" s="11" t="s">
        <v>1277</v>
      </c>
      <c r="K7">
        <v>10</v>
      </c>
      <c r="L7" s="11" t="s">
        <v>1278</v>
      </c>
      <c r="Q7" t="s">
        <v>1279</v>
      </c>
      <c r="R7" s="5" t="s">
        <v>1353</v>
      </c>
      <c r="S7" s="5" t="s">
        <v>1353</v>
      </c>
    </row>
    <row r="8" spans="2:19" ht="15.75" customHeight="1" x14ac:dyDescent="0.25">
      <c r="C8">
        <v>8</v>
      </c>
      <c r="D8">
        <v>2</v>
      </c>
      <c r="E8" t="s">
        <v>1281</v>
      </c>
      <c r="F8" t="s">
        <v>1274</v>
      </c>
      <c r="G8" t="s">
        <v>1282</v>
      </c>
      <c r="H8" t="s">
        <v>1283</v>
      </c>
      <c r="I8" s="11"/>
      <c r="J8" s="11" t="s">
        <v>1284</v>
      </c>
      <c r="K8">
        <v>4</v>
      </c>
      <c r="L8" s="11" t="s">
        <v>1285</v>
      </c>
      <c r="Q8" t="s">
        <v>1286</v>
      </c>
      <c r="R8" s="5" t="s">
        <v>1356</v>
      </c>
      <c r="S8" s="5" t="s">
        <v>1356</v>
      </c>
    </row>
    <row r="9" spans="2:19" ht="15.75" customHeight="1" x14ac:dyDescent="0.25">
      <c r="C9">
        <v>9</v>
      </c>
      <c r="D9">
        <v>3</v>
      </c>
      <c r="E9" t="s">
        <v>1288</v>
      </c>
      <c r="F9" t="s">
        <v>1289</v>
      </c>
      <c r="G9" t="s">
        <v>1290</v>
      </c>
      <c r="H9" t="s">
        <v>1291</v>
      </c>
      <c r="I9" s="11"/>
      <c r="J9" s="11" t="s">
        <v>1292</v>
      </c>
      <c r="K9">
        <v>12</v>
      </c>
      <c r="L9" t="s">
        <v>1293</v>
      </c>
      <c r="Q9" t="s">
        <v>1294</v>
      </c>
      <c r="R9" s="5" t="s">
        <v>1357</v>
      </c>
      <c r="S9" s="5" t="s">
        <v>1357</v>
      </c>
    </row>
    <row r="10" spans="2:19" ht="15.75" customHeight="1" x14ac:dyDescent="0.25">
      <c r="C10">
        <v>10</v>
      </c>
      <c r="D10">
        <v>4</v>
      </c>
      <c r="E10" t="s">
        <v>1296</v>
      </c>
      <c r="F10" t="s">
        <v>1289</v>
      </c>
      <c r="G10" t="s">
        <v>1297</v>
      </c>
      <c r="H10" t="s">
        <v>1298</v>
      </c>
      <c r="J10" s="11" t="s">
        <v>1321</v>
      </c>
      <c r="K10">
        <v>6</v>
      </c>
      <c r="L10" t="s">
        <v>1299</v>
      </c>
      <c r="Q10" t="s">
        <v>1300</v>
      </c>
      <c r="R10" s="5" t="s">
        <v>1358</v>
      </c>
      <c r="S10" s="5" t="s">
        <v>1358</v>
      </c>
    </row>
    <row r="11" spans="2:19" ht="15.75" customHeight="1" x14ac:dyDescent="0.25">
      <c r="C11">
        <v>11</v>
      </c>
      <c r="D11">
        <v>5</v>
      </c>
      <c r="E11" t="s">
        <v>1301</v>
      </c>
      <c r="F11" t="s">
        <v>1289</v>
      </c>
      <c r="G11" t="s">
        <v>1302</v>
      </c>
      <c r="H11" t="s">
        <v>1303</v>
      </c>
      <c r="J11" s="11" t="s">
        <v>1322</v>
      </c>
      <c r="K11">
        <v>12</v>
      </c>
      <c r="L11" t="s">
        <v>1304</v>
      </c>
      <c r="Q11" t="s">
        <v>1305</v>
      </c>
      <c r="R11" s="5" t="s">
        <v>1359</v>
      </c>
      <c r="S11" s="5" t="s">
        <v>1359</v>
      </c>
    </row>
    <row r="12" spans="2:19" ht="15.75" customHeight="1" x14ac:dyDescent="0.25">
      <c r="G12" t="s">
        <v>142</v>
      </c>
    </row>
    <row r="13" spans="2:19" ht="15.75" customHeight="1" x14ac:dyDescent="0.25">
      <c r="F13" t="s">
        <v>144</v>
      </c>
      <c r="G13" t="s">
        <v>1354</v>
      </c>
    </row>
    <row r="14" spans="2:19" ht="15.75" customHeight="1" x14ac:dyDescent="0.25">
      <c r="F14" t="s">
        <v>147</v>
      </c>
      <c r="G14" t="s">
        <v>1355</v>
      </c>
    </row>
    <row r="16" spans="2:19" ht="15.75" customHeight="1" x14ac:dyDescent="0.25">
      <c r="L16" t="s">
        <v>151</v>
      </c>
    </row>
    <row r="17" spans="3:19" ht="15.75" customHeight="1" x14ac:dyDescent="0.25">
      <c r="I17" s="11"/>
      <c r="J17" s="11"/>
      <c r="L17" t="s">
        <v>61</v>
      </c>
    </row>
    <row r="18" spans="3:19" ht="15.75" customHeight="1" x14ac:dyDescent="0.25">
      <c r="I18" s="11"/>
      <c r="J18" s="11"/>
      <c r="L18" t="s">
        <v>109</v>
      </c>
    </row>
    <row r="19" spans="3:19" ht="15.75" customHeight="1" x14ac:dyDescent="0.25">
      <c r="I19" s="11"/>
      <c r="J19" s="11"/>
      <c r="L19" t="s">
        <v>117</v>
      </c>
      <c r="N19" s="25" t="s">
        <v>140</v>
      </c>
      <c r="O19" s="25" t="s">
        <v>141</v>
      </c>
    </row>
    <row r="20" spans="3:19" ht="15.75" customHeight="1" x14ac:dyDescent="0.25">
      <c r="I20" s="11"/>
      <c r="J20" s="11"/>
      <c r="L20" t="s">
        <v>126</v>
      </c>
      <c r="N20" s="25" t="s">
        <v>91</v>
      </c>
      <c r="O20" s="25" t="s">
        <v>143</v>
      </c>
    </row>
    <row r="21" spans="3:19" ht="15.75" customHeight="1" x14ac:dyDescent="0.25">
      <c r="L21" t="s">
        <v>488</v>
      </c>
      <c r="N21" s="25" t="s">
        <v>100</v>
      </c>
      <c r="O21" s="25" t="s">
        <v>146</v>
      </c>
    </row>
    <row r="22" spans="3:19" ht="15.75" customHeight="1" x14ac:dyDescent="0.25">
      <c r="N22" s="25" t="s">
        <v>44</v>
      </c>
      <c r="O22" s="25" t="s">
        <v>149</v>
      </c>
    </row>
    <row r="23" spans="3:19" ht="15.75" customHeight="1" x14ac:dyDescent="0.25">
      <c r="N23" s="25" t="s">
        <v>118</v>
      </c>
      <c r="O23" s="25" t="s">
        <v>150</v>
      </c>
    </row>
    <row r="26" spans="3:19" ht="15.75" customHeight="1" x14ac:dyDescent="0.25">
      <c r="D26" s="23" t="s">
        <v>0</v>
      </c>
      <c r="E26" s="23" t="s">
        <v>217</v>
      </c>
      <c r="F26" s="23" t="s">
        <v>4</v>
      </c>
      <c r="G26" s="23" t="s">
        <v>5</v>
      </c>
      <c r="H26" s="23" t="s">
        <v>6</v>
      </c>
      <c r="I26" s="15" t="s">
        <v>8</v>
      </c>
      <c r="J26" s="13" t="s">
        <v>10</v>
      </c>
      <c r="K26" s="23" t="s">
        <v>11</v>
      </c>
      <c r="L26" s="26" t="s">
        <v>12</v>
      </c>
      <c r="M26" s="26" t="s">
        <v>13</v>
      </c>
      <c r="N26" s="26" t="s">
        <v>14</v>
      </c>
      <c r="O26" s="26" t="s">
        <v>15</v>
      </c>
      <c r="P26" s="26" t="s">
        <v>16</v>
      </c>
      <c r="Q26" s="26" t="s">
        <v>7</v>
      </c>
      <c r="R26" s="23" t="s">
        <v>216</v>
      </c>
      <c r="S26" s="23" t="s">
        <v>1307</v>
      </c>
    </row>
    <row r="27" spans="3:19" ht="15.75" customHeight="1" x14ac:dyDescent="0.25">
      <c r="C27">
        <v>27</v>
      </c>
      <c r="D27">
        <v>1</v>
      </c>
      <c r="E27" t="s">
        <v>1076</v>
      </c>
      <c r="F27" t="s">
        <v>1274</v>
      </c>
      <c r="G27" t="s">
        <v>1275</v>
      </c>
      <c r="H27" t="s">
        <v>1276</v>
      </c>
      <c r="I27" s="11"/>
      <c r="J27" s="11" t="s">
        <v>1277</v>
      </c>
      <c r="K27">
        <v>12</v>
      </c>
      <c r="L27" s="11" t="s">
        <v>1278</v>
      </c>
      <c r="Q27" t="s">
        <v>1279</v>
      </c>
      <c r="R27" t="s">
        <v>1280</v>
      </c>
      <c r="S27" t="s">
        <v>1280</v>
      </c>
    </row>
    <row r="28" spans="3:19" ht="15.75" customHeight="1" x14ac:dyDescent="0.25">
      <c r="C28">
        <v>28</v>
      </c>
      <c r="D28">
        <v>2</v>
      </c>
      <c r="E28" t="s">
        <v>1077</v>
      </c>
      <c r="F28" t="s">
        <v>1274</v>
      </c>
      <c r="G28" t="s">
        <v>1282</v>
      </c>
      <c r="H28" t="s">
        <v>1283</v>
      </c>
      <c r="I28" s="11"/>
      <c r="J28" s="11" t="s">
        <v>1284</v>
      </c>
      <c r="K28">
        <v>12</v>
      </c>
      <c r="L28" s="11" t="s">
        <v>1285</v>
      </c>
      <c r="Q28" t="s">
        <v>1286</v>
      </c>
      <c r="R28" t="s">
        <v>1287</v>
      </c>
      <c r="S28" t="s">
        <v>1287</v>
      </c>
    </row>
    <row r="29" spans="3:19" ht="15.75" customHeight="1" x14ac:dyDescent="0.25">
      <c r="C29">
        <v>29</v>
      </c>
      <c r="D29">
        <v>3</v>
      </c>
      <c r="E29" t="s">
        <v>1078</v>
      </c>
      <c r="F29" t="s">
        <v>1289</v>
      </c>
      <c r="G29" t="s">
        <v>1290</v>
      </c>
      <c r="H29" t="s">
        <v>1291</v>
      </c>
      <c r="I29" s="11"/>
      <c r="J29" s="11" t="s">
        <v>1292</v>
      </c>
      <c r="K29">
        <v>12</v>
      </c>
      <c r="L29" t="s">
        <v>1293</v>
      </c>
      <c r="Q29" t="s">
        <v>1294</v>
      </c>
      <c r="R29" t="s">
        <v>1295</v>
      </c>
      <c r="S29" t="s">
        <v>1295</v>
      </c>
    </row>
  </sheetData>
  <hyperlinks>
    <hyperlink ref="R7" r:id="rId1" xr:uid="{97C65AEB-EFB5-4C3B-BFEE-AC7CC48DC54C}"/>
    <hyperlink ref="S7" r:id="rId2" xr:uid="{97A8F1B6-F890-4D0E-9121-4BF059CF4068}"/>
    <hyperlink ref="S8" r:id="rId3" xr:uid="{E0DDB8A0-AD1E-49DF-B3E0-EDF105A5A568}"/>
    <hyperlink ref="S9" r:id="rId4" xr:uid="{E1DD3770-7F3B-4EFC-A5DD-CB0D3C1341E1}"/>
    <hyperlink ref="S10" r:id="rId5" xr:uid="{A1D966AD-1E9B-4359-A7B1-C11724ED9C0B}"/>
    <hyperlink ref="S11" r:id="rId6" xr:uid="{ED01BA62-3BF5-466B-909E-B8F268CE39C3}"/>
    <hyperlink ref="R8" r:id="rId7" xr:uid="{10A0875E-490D-44E8-8E5C-82408A7B79DF}"/>
    <hyperlink ref="R9" r:id="rId8" xr:uid="{8E143261-47C5-418A-8116-618FA6320658}"/>
    <hyperlink ref="R10" r:id="rId9" xr:uid="{1324330D-5E4F-4F1A-A506-141FDFB58943}"/>
    <hyperlink ref="R11" r:id="rId10" xr:uid="{9E30E9B5-6004-407F-9610-9E61BF19602E}"/>
  </hyperlinks>
  <pageMargins left="0.511811024" right="0.511811024" top="0.78740157499999996" bottom="0.78740157499999996" header="0.31496062000000002" footer="0.31496062000000002"/>
  <pageSetup paperSize="9" orientation="portrait" r:id="rId11"/>
  <drawing r:id="rId12"/>
  <legacyDrawing r:id="rId1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801" r:id="rId14" name="Button 1">
              <controlPr defaultSize="0" print="0" autoFill="0" autoPict="0" macro="[0]!ACESSORIOS">
                <anchor moveWithCells="1" sizeWithCells="1">
                  <from>
                    <xdr:col>2</xdr:col>
                    <xdr:colOff>0</xdr:colOff>
                    <xdr:row>2</xdr:row>
                    <xdr:rowOff>19050</xdr:rowOff>
                  </from>
                  <to>
                    <xdr:col>2</xdr:col>
                    <xdr:colOff>1143000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A84AE-E6E0-4889-A033-2A59039E960C}">
  <sheetPr codeName="Planilha22">
    <tabColor theme="4" tint="0.39997558519241921"/>
  </sheetPr>
  <dimension ref="A1:K91"/>
  <sheetViews>
    <sheetView topLeftCell="A31" workbookViewId="0">
      <selection activeCell="A78" sqref="A78:A91"/>
    </sheetView>
  </sheetViews>
  <sheetFormatPr defaultRowHeight="15" x14ac:dyDescent="0.25"/>
  <cols>
    <col min="1" max="1" width="76.28515625" customWidth="1"/>
    <col min="2" max="2" width="37.140625" customWidth="1"/>
    <col min="3" max="3" width="7" customWidth="1"/>
    <col min="4" max="4" width="42.7109375" customWidth="1"/>
    <col min="5" max="5" width="37.140625" customWidth="1"/>
    <col min="7" max="7" width="54.28515625" customWidth="1"/>
    <col min="8" max="8" width="37.140625" customWidth="1"/>
    <col min="10" max="10" width="14.7109375" customWidth="1"/>
  </cols>
  <sheetData>
    <row r="1" spans="1:11" x14ac:dyDescent="0.25">
      <c r="A1" s="68" t="s">
        <v>153</v>
      </c>
      <c r="B1" s="68"/>
      <c r="D1" s="68" t="s">
        <v>154</v>
      </c>
      <c r="E1" s="68"/>
      <c r="G1" s="68" t="s">
        <v>155</v>
      </c>
      <c r="H1" s="68"/>
      <c r="J1" t="s">
        <v>156</v>
      </c>
      <c r="K1" s="5" t="s">
        <v>157</v>
      </c>
    </row>
    <row r="2" spans="1:11" x14ac:dyDescent="0.25">
      <c r="A2" t="s">
        <v>158</v>
      </c>
      <c r="D2" t="s">
        <v>158</v>
      </c>
      <c r="G2" t="s">
        <v>158</v>
      </c>
    </row>
    <row r="3" spans="1:11" x14ac:dyDescent="0.25">
      <c r="A3" t="s">
        <v>160</v>
      </c>
      <c r="B3" t="str">
        <f>ACESSORIOS!E4</f>
        <v>c61aab12-24c6-4c80-897a-fc52aa2cccf5</v>
      </c>
      <c r="C3" t="s">
        <v>161</v>
      </c>
      <c r="D3" t="s">
        <v>160</v>
      </c>
      <c r="E3">
        <f>'NOVA TABELA APARELHOS'!F4</f>
        <v>0</v>
      </c>
      <c r="F3" t="s">
        <v>161</v>
      </c>
      <c r="G3" t="s">
        <v>160</v>
      </c>
      <c r="H3">
        <f>'NOVA TABELA APARELHOS'!G4</f>
        <v>0</v>
      </c>
      <c r="I3" t="s">
        <v>161</v>
      </c>
    </row>
    <row r="4" spans="1:11" x14ac:dyDescent="0.25">
      <c r="A4" t="s">
        <v>164</v>
      </c>
      <c r="B4" t="s">
        <v>165</v>
      </c>
      <c r="C4" t="s">
        <v>166</v>
      </c>
      <c r="D4" t="s">
        <v>164</v>
      </c>
      <c r="E4" s="7" t="str">
        <f>B4</f>
        <v>true</v>
      </c>
      <c r="F4" t="s">
        <v>166</v>
      </c>
      <c r="G4" t="s">
        <v>164</v>
      </c>
      <c r="H4" s="7" t="str">
        <f>B4</f>
        <v>true</v>
      </c>
      <c r="I4" t="s">
        <v>166</v>
      </c>
    </row>
    <row r="5" spans="1:11" x14ac:dyDescent="0.25">
      <c r="A5" t="s">
        <v>168</v>
      </c>
      <c r="B5" s="1" t="str">
        <f>ACESSORIOS!H4</f>
        <v>HEADPHONEBLUETOOTHT510JBL</v>
      </c>
      <c r="C5" t="s">
        <v>161</v>
      </c>
      <c r="D5" t="s">
        <v>168</v>
      </c>
      <c r="E5" s="1" t="str">
        <f>'NOVA TABELA APARELHOS'!J4&amp;"CTRL"</f>
        <v>MOTOE22128GBCTRL</v>
      </c>
      <c r="F5" t="s">
        <v>161</v>
      </c>
      <c r="G5" t="s">
        <v>168</v>
      </c>
      <c r="H5" s="1" t="str">
        <f>'NOVA TABELA APARELHOS'!J4&amp;"POS"</f>
        <v>MOTOE22128GBPOS</v>
      </c>
      <c r="I5" t="s">
        <v>161</v>
      </c>
    </row>
    <row r="6" spans="1:11" x14ac:dyDescent="0.25">
      <c r="A6" t="s">
        <v>170</v>
      </c>
      <c r="D6" t="s">
        <v>170</v>
      </c>
      <c r="G6" t="s">
        <v>170</v>
      </c>
    </row>
    <row r="7" spans="1:11" x14ac:dyDescent="0.25">
      <c r="A7" t="s">
        <v>173</v>
      </c>
      <c r="B7" t="str">
        <f>IF(ACESSORIOS!I4=0,"",ACESSORIOS!I4)</f>
        <v/>
      </c>
      <c r="C7" t="s">
        <v>163</v>
      </c>
      <c r="D7" t="s">
        <v>173</v>
      </c>
      <c r="E7" s="8" t="str">
        <f>B7</f>
        <v/>
      </c>
      <c r="F7" t="s">
        <v>163</v>
      </c>
      <c r="G7" t="s">
        <v>173</v>
      </c>
      <c r="H7" s="8" t="str">
        <f>B7</f>
        <v/>
      </c>
      <c r="I7" t="s">
        <v>163</v>
      </c>
    </row>
    <row r="8" spans="1:11" x14ac:dyDescent="0.25">
      <c r="A8" t="s">
        <v>176</v>
      </c>
      <c r="B8" s="11" t="str">
        <f>ACESSORIOS!J4</f>
        <v>229,00</v>
      </c>
      <c r="C8" t="s">
        <v>163</v>
      </c>
      <c r="D8" t="s">
        <v>176</v>
      </c>
      <c r="E8" s="11">
        <f>'NOVA TABELA APARELHOS'!O4</f>
        <v>0</v>
      </c>
      <c r="F8" t="s">
        <v>163</v>
      </c>
      <c r="G8" t="s">
        <v>176</v>
      </c>
      <c r="H8" s="11">
        <f>'NOVA TABELA APARELHOS'!Q4</f>
        <v>0</v>
      </c>
      <c r="I8" t="s">
        <v>163</v>
      </c>
    </row>
    <row r="9" spans="1:11" x14ac:dyDescent="0.25">
      <c r="A9" t="s">
        <v>177</v>
      </c>
      <c r="B9">
        <f>INT(B8/B10)+0.99</f>
        <v>19.989999999999998</v>
      </c>
      <c r="C9" t="s">
        <v>163</v>
      </c>
      <c r="D9" t="s">
        <v>177</v>
      </c>
      <c r="E9" s="2">
        <f>INT(E8/E10)+0.99</f>
        <v>0.99</v>
      </c>
      <c r="F9" t="s">
        <v>163</v>
      </c>
      <c r="G9" t="s">
        <v>177</v>
      </c>
      <c r="H9" s="2">
        <f>INT(H8/H10)+0.99</f>
        <v>0.99</v>
      </c>
      <c r="I9" t="s">
        <v>163</v>
      </c>
    </row>
    <row r="10" spans="1:11" x14ac:dyDescent="0.25">
      <c r="A10" t="s">
        <v>178</v>
      </c>
      <c r="B10" s="6">
        <f>ACESSORIOS!K4</f>
        <v>12</v>
      </c>
      <c r="C10" t="s">
        <v>163</v>
      </c>
      <c r="D10" t="s">
        <v>178</v>
      </c>
      <c r="E10" s="9">
        <f>'NOVA TABELA APARELHOS'!R4</f>
        <v>12</v>
      </c>
      <c r="F10" t="s">
        <v>163</v>
      </c>
      <c r="G10" t="s">
        <v>178</v>
      </c>
      <c r="H10" s="9">
        <f>'NOVA TABELA APARELHOS'!R4</f>
        <v>12</v>
      </c>
      <c r="I10" t="s">
        <v>163</v>
      </c>
    </row>
    <row r="11" spans="1:11" x14ac:dyDescent="0.25">
      <c r="A11" t="s">
        <v>174</v>
      </c>
      <c r="B11" t="str">
        <f>K1&amp;ACESSORIOS!L4</f>
        <v>https://assets.clarobrasil.mobi/ecommerce-config/sales-deck/claro_0_JBL_headphone_bluetooth_T510_branco.png</v>
      </c>
      <c r="C11" t="s">
        <v>163</v>
      </c>
      <c r="D11" t="s">
        <v>174</v>
      </c>
      <c r="E11" s="7" t="str">
        <f t="shared" ref="E11:E16" si="0">B11</f>
        <v>https://assets.clarobrasil.mobi/ecommerce-config/sales-deck/claro_0_JBL_headphone_bluetooth_T510_branco.png</v>
      </c>
      <c r="F11" t="s">
        <v>163</v>
      </c>
      <c r="G11" t="s">
        <v>174</v>
      </c>
      <c r="H11" s="7" t="str">
        <f t="shared" ref="H11:H16" si="1">B11</f>
        <v>https://assets.clarobrasil.mobi/ecommerce-config/sales-deck/claro_0_JBL_headphone_bluetooth_T510_branco.png</v>
      </c>
      <c r="I11" t="s">
        <v>163</v>
      </c>
    </row>
    <row r="12" spans="1:11" x14ac:dyDescent="0.25">
      <c r="A12" t="s">
        <v>179</v>
      </c>
      <c r="B12" t="str">
        <f>IF(ACESSORIOS!M4=0,"",K1&amp;ACESSORIOS!M4)</f>
        <v/>
      </c>
      <c r="C12" t="s">
        <v>163</v>
      </c>
      <c r="D12" t="s">
        <v>179</v>
      </c>
      <c r="E12" s="7" t="str">
        <f t="shared" si="0"/>
        <v/>
      </c>
      <c r="F12" t="s">
        <v>163</v>
      </c>
      <c r="G12" t="s">
        <v>179</v>
      </c>
      <c r="H12" s="7" t="str">
        <f t="shared" si="1"/>
        <v/>
      </c>
      <c r="I12" t="s">
        <v>163</v>
      </c>
    </row>
    <row r="13" spans="1:11" x14ac:dyDescent="0.25">
      <c r="A13" t="s">
        <v>180</v>
      </c>
      <c r="B13" t="str">
        <f>IF(ACESSORIOS!N4=0,"",K2&amp;ACESSORIOS!N4)</f>
        <v/>
      </c>
      <c r="C13" t="s">
        <v>163</v>
      </c>
      <c r="D13" t="s">
        <v>180</v>
      </c>
      <c r="E13" s="7" t="str">
        <f t="shared" si="0"/>
        <v/>
      </c>
      <c r="F13" t="s">
        <v>163</v>
      </c>
      <c r="G13" t="s">
        <v>180</v>
      </c>
      <c r="H13" s="7" t="str">
        <f t="shared" si="1"/>
        <v/>
      </c>
      <c r="I13" t="s">
        <v>163</v>
      </c>
    </row>
    <row r="14" spans="1:11" x14ac:dyDescent="0.25">
      <c r="A14" t="s">
        <v>181</v>
      </c>
      <c r="B14" t="str">
        <f>IF(ACESSORIOS!O4=0,"",K3&amp;ACESSORIOS!O4)</f>
        <v/>
      </c>
      <c r="C14" t="s">
        <v>163</v>
      </c>
      <c r="D14" t="s">
        <v>181</v>
      </c>
      <c r="E14" s="7" t="str">
        <f t="shared" si="0"/>
        <v/>
      </c>
      <c r="F14" t="s">
        <v>163</v>
      </c>
      <c r="G14" t="s">
        <v>181</v>
      </c>
      <c r="H14" s="7" t="str">
        <f t="shared" si="1"/>
        <v/>
      </c>
      <c r="I14" t="s">
        <v>163</v>
      </c>
    </row>
    <row r="15" spans="1:11" x14ac:dyDescent="0.25">
      <c r="A15" t="s">
        <v>182</v>
      </c>
      <c r="B15" t="str">
        <f>IF(ACESSORIOS!P4=0,"",K4&amp;ACESSORIOS!P4)</f>
        <v/>
      </c>
      <c r="C15" t="s">
        <v>163</v>
      </c>
      <c r="D15" t="s">
        <v>182</v>
      </c>
      <c r="E15" s="7" t="str">
        <f t="shared" si="0"/>
        <v/>
      </c>
      <c r="F15" t="s">
        <v>163</v>
      </c>
      <c r="G15" t="s">
        <v>182</v>
      </c>
      <c r="H15" s="7" t="str">
        <f t="shared" si="1"/>
        <v/>
      </c>
      <c r="I15" t="s">
        <v>163</v>
      </c>
    </row>
    <row r="16" spans="1:11" x14ac:dyDescent="0.25">
      <c r="A16" t="s">
        <v>1250</v>
      </c>
      <c r="B16" t="str">
        <f>IF(ACESSORIOS!Q4=0,"",K5&amp;ACESSORIOS!Q4)</f>
        <v>headphone_bluetooth_t510_jbl</v>
      </c>
      <c r="C16" t="s">
        <v>183</v>
      </c>
      <c r="D16" t="s">
        <v>1250</v>
      </c>
      <c r="E16" s="7" t="str">
        <f t="shared" si="0"/>
        <v>headphone_bluetooth_t510_jbl</v>
      </c>
      <c r="F16" t="s">
        <v>183</v>
      </c>
      <c r="G16" t="s">
        <v>1250</v>
      </c>
      <c r="H16" s="7" t="str">
        <f t="shared" si="1"/>
        <v>headphone_bluetooth_t510_jbl</v>
      </c>
      <c r="I16" t="s">
        <v>183</v>
      </c>
    </row>
    <row r="17" spans="1:9" x14ac:dyDescent="0.25">
      <c r="A17" t="s">
        <v>184</v>
      </c>
      <c r="D17" t="s">
        <v>184</v>
      </c>
      <c r="G17" t="s">
        <v>184</v>
      </c>
    </row>
    <row r="18" spans="1:9" x14ac:dyDescent="0.25">
      <c r="A18" t="s">
        <v>185</v>
      </c>
      <c r="D18" t="s">
        <v>185</v>
      </c>
      <c r="G18" t="s">
        <v>185</v>
      </c>
    </row>
    <row r="19" spans="1:9" x14ac:dyDescent="0.25">
      <c r="A19" t="s">
        <v>186</v>
      </c>
      <c r="B19" s="5" t="str">
        <f>ACESSORIOS!R4&amp;ACESSORIOS!G14</f>
        <v>https://planoscelular.claro.com.br/Cat%C3%A1logo-de-Planos/Acess%C3%B3rios/HEADPHONE-BLUETOOTH-T510-JBL/p/000000000000062370?utm_source=minhaclaro-deckvendas&amp;utm_medium=carrossel_deck&amp;utm_campaign=acessorios_deck_headphone_t510_jbl?utm_source=minhaclaro-deckvendas-acessorios_app</v>
      </c>
      <c r="C19" t="s">
        <v>163</v>
      </c>
      <c r="D19" t="s">
        <v>186</v>
      </c>
      <c r="E19" t="str">
        <f>'NOVA TABELA APARELHOS'!Z4&amp;'NOVA TABELA APARELHOS'!I45</f>
        <v>&amp;utm_source=minhaclaro-deckvendas_app&amp;utm_medium=carrossel_deck&amp;utm_campaign=aparelhosmoto_e22_128gb</v>
      </c>
      <c r="F19" t="s">
        <v>163</v>
      </c>
      <c r="G19" t="s">
        <v>186</v>
      </c>
      <c r="H19" t="str">
        <f>'NOVA TABELA APARELHOS'!AA4&amp;'NOVA TABELA APARELHOS'!I45</f>
        <v>&amp;utm_source=minhaclaro-deckvendas_app&amp;utm_medium=carrossel_deck&amp;utm_campaign=aparelhosmoto_e22_128gb</v>
      </c>
      <c r="I19" t="s">
        <v>163</v>
      </c>
    </row>
    <row r="20" spans="1:9" x14ac:dyDescent="0.25">
      <c r="A20" t="s">
        <v>187</v>
      </c>
      <c r="B20" s="5" t="str">
        <f>ACESSORIOS!R4&amp;ACESSORIOS!G13</f>
        <v>https://planoscelular.claro.com.br/Cat%C3%A1logo-de-Planos/Acess%C3%B3rios/HEADPHONE-BLUETOOTH-T510-JBL/p/000000000000062370?utm_source=minhaclaro-deckvendas&amp;utm_medium=carrossel_deck&amp;utm_campaign=acessorios_deck_headphone_t510_jbl?utm_source=minhaclaro-deckvendas-acessorios_web</v>
      </c>
      <c r="C20" t="s">
        <v>163</v>
      </c>
      <c r="D20" t="s">
        <v>187</v>
      </c>
      <c r="E20" t="str">
        <f>'NOVA TABELA APARELHOS'!Z4&amp;'NOVA TABELA APARELHOS'!I44</f>
        <v>&amp;utm_source=minhaclaro-deckvendas_web&amp;utm_medium=carrossel_deck&amp;utm_campaign=aparelhosmoto_e22_128gb</v>
      </c>
      <c r="F20" t="s">
        <v>163</v>
      </c>
      <c r="G20" t="s">
        <v>187</v>
      </c>
      <c r="H20" t="str">
        <f>'NOVA TABELA APARELHOS'!AA4&amp;'NOVA TABELA APARELHOS'!I44</f>
        <v>&amp;utm_source=minhaclaro-deckvendas_web&amp;utm_medium=carrossel_deck&amp;utm_campaign=aparelhosmoto_e22_128gb</v>
      </c>
      <c r="I20" t="s">
        <v>163</v>
      </c>
    </row>
    <row r="21" spans="1:9" x14ac:dyDescent="0.25">
      <c r="A21" t="s">
        <v>188</v>
      </c>
      <c r="B21" s="5" t="str">
        <f>ACESSORIOS!R4&amp;ACESSORIOS!G14</f>
        <v>https://planoscelular.claro.com.br/Cat%C3%A1logo-de-Planos/Acess%C3%B3rios/HEADPHONE-BLUETOOTH-T510-JBL/p/000000000000062370?utm_source=minhaclaro-deckvendas&amp;utm_medium=carrossel_deck&amp;utm_campaign=acessorios_deck_headphone_t510_jbl?utm_source=minhaclaro-deckvendas-acessorios_app</v>
      </c>
      <c r="C21" t="s">
        <v>183</v>
      </c>
      <c r="D21" t="s">
        <v>188</v>
      </c>
      <c r="E21" t="str">
        <f>'NOVA TABELA APARELHOS'!Z4&amp;'NOVA TABELA APARELHOS'!I45</f>
        <v>&amp;utm_source=minhaclaro-deckvendas_app&amp;utm_medium=carrossel_deck&amp;utm_campaign=aparelhosmoto_e22_128gb</v>
      </c>
      <c r="F21" t="s">
        <v>183</v>
      </c>
      <c r="G21" t="s">
        <v>188</v>
      </c>
      <c r="H21" t="str">
        <f>'NOVA TABELA APARELHOS'!AA4&amp;'NOVA TABELA APARELHOS'!I45</f>
        <v>&amp;utm_source=minhaclaro-deckvendas_app&amp;utm_medium=carrossel_deck&amp;utm_campaign=aparelhosmoto_e22_128gb</v>
      </c>
      <c r="I21" t="s">
        <v>183</v>
      </c>
    </row>
    <row r="22" spans="1:9" x14ac:dyDescent="0.25">
      <c r="A22" t="s">
        <v>184</v>
      </c>
      <c r="D22" t="s">
        <v>184</v>
      </c>
      <c r="G22" t="s">
        <v>184</v>
      </c>
    </row>
    <row r="23" spans="1:9" x14ac:dyDescent="0.25">
      <c r="A23" t="s">
        <v>189</v>
      </c>
      <c r="B23" s="10" t="s">
        <v>548</v>
      </c>
      <c r="C23" t="s">
        <v>161</v>
      </c>
      <c r="D23" t="s">
        <v>189</v>
      </c>
      <c r="E23" s="7" t="str">
        <f>B23</f>
        <v>Carrossel de Acessorios - Deck de Vendas</v>
      </c>
      <c r="F23" t="s">
        <v>161</v>
      </c>
      <c r="G23" t="s">
        <v>189</v>
      </c>
      <c r="H23" s="7" t="str">
        <f>B23</f>
        <v>Carrossel de Acessorios - Deck de Vendas</v>
      </c>
      <c r="I23" t="s">
        <v>161</v>
      </c>
    </row>
    <row r="24" spans="1:9" x14ac:dyDescent="0.25">
      <c r="A24" t="s">
        <v>191</v>
      </c>
      <c r="C24" t="s">
        <v>161</v>
      </c>
      <c r="D24" t="s">
        <v>191</v>
      </c>
      <c r="E24" t="s">
        <v>193</v>
      </c>
      <c r="F24" t="s">
        <v>161</v>
      </c>
      <c r="G24" t="s">
        <v>191</v>
      </c>
      <c r="H24" t="s">
        <v>194</v>
      </c>
      <c r="I24" t="s">
        <v>161</v>
      </c>
    </row>
    <row r="25" spans="1:9" x14ac:dyDescent="0.25">
      <c r="A25" t="s">
        <v>195</v>
      </c>
      <c r="B25" t="str">
        <f>ACESSORIOS!G4</f>
        <v>Headphone Bluetooth T510 JBL</v>
      </c>
      <c r="C25" t="s">
        <v>161</v>
      </c>
      <c r="D25" t="s">
        <v>195</v>
      </c>
      <c r="E25" s="7" t="str">
        <f>B25</f>
        <v>Headphone Bluetooth T510 JBL</v>
      </c>
      <c r="F25" t="s">
        <v>161</v>
      </c>
      <c r="G25" t="s">
        <v>195</v>
      </c>
      <c r="H25" s="7" t="str">
        <f>B25</f>
        <v>Headphone Bluetooth T510 JBL</v>
      </c>
      <c r="I25" t="s">
        <v>161</v>
      </c>
    </row>
    <row r="26" spans="1:9" x14ac:dyDescent="0.25">
      <c r="A26" t="s">
        <v>196</v>
      </c>
      <c r="B26">
        <f>ACESSORIOS!D4</f>
        <v>3</v>
      </c>
      <c r="C26" t="s">
        <v>166</v>
      </c>
      <c r="D26" t="s">
        <v>196</v>
      </c>
      <c r="E26" s="7">
        <f>B26</f>
        <v>3</v>
      </c>
      <c r="F26" t="s">
        <v>166</v>
      </c>
      <c r="G26" t="s">
        <v>196</v>
      </c>
      <c r="H26" s="7">
        <f>B26</f>
        <v>3</v>
      </c>
      <c r="I26" t="s">
        <v>166</v>
      </c>
    </row>
    <row r="27" spans="1:9" x14ac:dyDescent="0.25">
      <c r="A27" t="s">
        <v>197</v>
      </c>
      <c r="B27" t="str">
        <f>ACESSORIOS!F4</f>
        <v>JBL</v>
      </c>
      <c r="C27" t="s">
        <v>161</v>
      </c>
      <c r="D27" t="s">
        <v>197</v>
      </c>
      <c r="E27" s="7" t="str">
        <f>B27</f>
        <v>JBL</v>
      </c>
      <c r="F27" t="s">
        <v>161</v>
      </c>
      <c r="G27" t="s">
        <v>197</v>
      </c>
      <c r="H27" s="7" t="str">
        <f>B27</f>
        <v>JBL</v>
      </c>
      <c r="I27" t="s">
        <v>161</v>
      </c>
    </row>
    <row r="28" spans="1:9" x14ac:dyDescent="0.25">
      <c r="A28" t="s">
        <v>198</v>
      </c>
      <c r="C28" t="s">
        <v>161</v>
      </c>
      <c r="D28" t="s">
        <v>198</v>
      </c>
      <c r="E28">
        <f>'NOVA TABELA APARELHOS'!N4</f>
        <v>0</v>
      </c>
      <c r="F28" t="s">
        <v>161</v>
      </c>
      <c r="G28" t="s">
        <v>198</v>
      </c>
      <c r="H28" t="str">
        <f>IF('NOVA TABELA APARELHOS'!P4=0,"",'NOVA TABELA APARELHOS'!P4)</f>
        <v/>
      </c>
      <c r="I28" t="s">
        <v>161</v>
      </c>
    </row>
    <row r="29" spans="1:9" x14ac:dyDescent="0.25">
      <c r="A29" t="s">
        <v>199</v>
      </c>
      <c r="B29" s="10" t="s">
        <v>549</v>
      </c>
      <c r="C29" t="s">
        <v>201</v>
      </c>
      <c r="D29" t="s">
        <v>199</v>
      </c>
      <c r="E29" s="10" t="s">
        <v>549</v>
      </c>
      <c r="F29" t="s">
        <v>201</v>
      </c>
      <c r="G29" t="s">
        <v>199</v>
      </c>
      <c r="H29" s="10" t="s">
        <v>549</v>
      </c>
      <c r="I29" t="s">
        <v>201</v>
      </c>
    </row>
    <row r="30" spans="1:9" x14ac:dyDescent="0.25">
      <c r="A30" t="s">
        <v>202</v>
      </c>
      <c r="D30" t="s">
        <v>202</v>
      </c>
      <c r="G30" t="s">
        <v>202</v>
      </c>
    </row>
    <row r="33" spans="1:2" x14ac:dyDescent="0.25">
      <c r="A33" s="24" t="s">
        <v>203</v>
      </c>
      <c r="B33" t="s">
        <v>550</v>
      </c>
    </row>
    <row r="34" spans="1:2" x14ac:dyDescent="0.25">
      <c r="A34" t="str">
        <f>A2</f>
        <v>{</v>
      </c>
    </row>
    <row r="35" spans="1:2" x14ac:dyDescent="0.25">
      <c r="A35" t="str">
        <f>A3&amp;B3&amp;C3</f>
        <v xml:space="preserve"> "idcampanha":"c61aab12-24c6-4c80-897a-fc52aa2cccf5",</v>
      </c>
    </row>
    <row r="36" spans="1:2" x14ac:dyDescent="0.25">
      <c r="A36" t="str">
        <f>A4&amp;B4&amp;C4</f>
        <v xml:space="preserve"> "ativo":true,</v>
      </c>
    </row>
    <row r="37" spans="1:2" x14ac:dyDescent="0.25">
      <c r="A37" t="str">
        <f>A5&amp;B5&amp;C5</f>
        <v xml:space="preserve"> "codCampanha":"HEADPHONEBLUETOOTHT510JBL",</v>
      </c>
    </row>
    <row r="38" spans="1:2" x14ac:dyDescent="0.25">
      <c r="A38" t="str">
        <f>A6&amp;B33&amp;A7&amp;B7&amp;C7&amp;A8&amp;B8&amp;C8&amp;A9&amp;B9&amp;C9&amp;A10&amp;B10&amp;C10&amp;A11&amp;B11&amp;C11&amp;A12&amp;B12&amp;C12&amp;A13&amp;B13&amp;C13&amp;A14&amp;B14&amp;C14&amp;A15&amp;B15&amp;C15&amp;A16&amp;B16&amp;C16&amp;A17</f>
        <v xml:space="preserve"> "defaultMetaData": "{  \"TEMPLATE\": \"acessorios\",  \"PRECO_DE\": \"\", \"PRECO_POR\": \"229,00\", \"VALOR_PARCELA\": \"19,99\", \"QTD_PARCELA\": \"12\", \"URL_IMG\": \"https://assets.clarobrasil.mobi/ecommerce-config/sales-deck/claro_0_JBL_headphone_bluetooth_T510_branco.png\",  \"SELO_ORELHA\": \"\",  \"SELO_TEMPLATE\": \"\",  \"SELO_TEXTO\": \"\",  \"SELO_BRINDE\": \"\",  \"TAG\": \"acessorios:headphone_bluetooth_t510_jbl\"}",</v>
      </c>
    </row>
    <row r="39" spans="1:2" x14ac:dyDescent="0.25">
      <c r="A39" t="str">
        <f>A18&amp;A19&amp;B19&amp;C19&amp;A20&amp;B20&amp;C20&amp;A21&amp;B21&amp;C21&amp;A22</f>
        <v xml:space="preserve"> "defaultUrlRedirect": "{ \"default\": \"https://planoscelular.claro.com.br/Cat%C3%A1logo-de-Planos/Acess%C3%B3rios/HEADPHONE-BLUETOOTH-T510-JBL/p/000000000000062370?utm_source=minhaclaro-deckvendas&amp;utm_medium=carrossel_deck&amp;utm_campaign=acessorios_deck_headphone_t510_jbl?utm_source=minhaclaro-deckvendas-acessorios_app\", \"MCLA\": \"https://planoscelular.claro.com.br/Cat%C3%A1logo-de-Planos/Acess%C3%B3rios/HEADPHONE-BLUETOOTH-T510-JBL/p/000000000000062370?utm_source=minhaclaro-deckvendas&amp;utm_medium=carrossel_deck&amp;utm_campaign=acessorios_deck_headphone_t510_jbl?utm_source=minhaclaro-deckvendas-acessorios_web\", \"MCAP\": \"https://planoscelular.claro.com.br/Cat%C3%A1logo-de-Planos/Acess%C3%B3rios/HEADPHONE-BLUETOOTH-T510-JBL/p/000000000000062370?utm_source=minhaclaro-deckvendas&amp;utm_medium=carrossel_deck&amp;utm_campaign=acessorios_deck_headphone_t510_jbl?utm_source=minhaclaro-deckvendas-acessorios_app\"}",</v>
      </c>
    </row>
    <row r="40" spans="1:2" x14ac:dyDescent="0.25">
      <c r="A40" t="str">
        <f t="shared" ref="A40:A46" si="2">A23&amp;B23&amp;C23</f>
        <v xml:space="preserve"> "descricao": "Carrossel de Acessorios - Deck de Vendas",</v>
      </c>
    </row>
    <row r="41" spans="1:2" x14ac:dyDescent="0.25">
      <c r="A41" t="str">
        <f t="shared" si="2"/>
        <v xml:space="preserve"> "segmento":"",</v>
      </c>
    </row>
    <row r="42" spans="1:2" x14ac:dyDescent="0.25">
      <c r="A42" t="str">
        <f t="shared" si="2"/>
        <v xml:space="preserve"> "nome": "Headphone Bluetooth T510 JBL",</v>
      </c>
    </row>
    <row r="43" spans="1:2" x14ac:dyDescent="0.25">
      <c r="A43" t="str">
        <f t="shared" si="2"/>
        <v xml:space="preserve"> "prioridade":3,</v>
      </c>
    </row>
    <row r="44" spans="1:2" x14ac:dyDescent="0.25">
      <c r="A44" t="str">
        <f t="shared" si="2"/>
        <v xml:space="preserve"> "textoPrincipal": "JBL",</v>
      </c>
    </row>
    <row r="45" spans="1:2" x14ac:dyDescent="0.25">
      <c r="A45" t="str">
        <f t="shared" si="2"/>
        <v xml:space="preserve"> "textoSecundario": "",</v>
      </c>
    </row>
    <row r="46" spans="1:2" x14ac:dyDescent="0.25">
      <c r="A46" t="str">
        <f t="shared" si="2"/>
        <v xml:space="preserve"> "tipo": "deck_accessories"</v>
      </c>
    </row>
    <row r="47" spans="1:2" x14ac:dyDescent="0.25">
      <c r="A47" t="str">
        <f>A30</f>
        <v>},</v>
      </c>
    </row>
    <row r="48" spans="1:2" x14ac:dyDescent="0.25">
      <c r="A48" t="str">
        <f>D2</f>
        <v>{</v>
      </c>
    </row>
    <row r="49" spans="1:1" x14ac:dyDescent="0.25">
      <c r="A49" t="str">
        <f>D3&amp;E3&amp;F3</f>
        <v xml:space="preserve"> "idcampanha":"0",</v>
      </c>
    </row>
    <row r="50" spans="1:1" x14ac:dyDescent="0.25">
      <c r="A50" t="str">
        <f>D4&amp;E4&amp;F4</f>
        <v xml:space="preserve"> "ativo":true,</v>
      </c>
    </row>
    <row r="51" spans="1:1" x14ac:dyDescent="0.25">
      <c r="A51" t="str">
        <f>D5&amp;E5&amp;F5</f>
        <v xml:space="preserve"> "codCampanha":"MOTOE22128GBCTRL",</v>
      </c>
    </row>
    <row r="52" spans="1:1" x14ac:dyDescent="0.25">
      <c r="A52" t="str">
        <f>D6&amp;B33&amp;D7&amp;E7&amp;F7&amp;D8&amp;E8&amp;F8&amp;D9&amp;E9&amp;F9&amp;D10&amp;E10&amp;F10&amp;D11&amp;E11&amp;F11&amp;D12&amp;E12&amp;F12&amp;D13&amp;E13&amp;F13&amp;D14&amp;E14&amp;F14&amp;D15&amp;E15&amp;F15&amp;D16&amp;E16&amp;F16&amp;D17</f>
        <v xml:space="preserve"> "defaultMetaData": "{  \"TEMPLATE\": \"acessorios\",  \"PRECO_DE\": \"\", \"PRECO_POR\": \"0\", \"VALOR_PARCELA\": \"0,99\", \"QTD_PARCELA\": \"12\", \"URL_IMG\": \"https://assets.clarobrasil.mobi/ecommerce-config/sales-deck/claro_0_JBL_headphone_bluetooth_T510_branco.png\",  \"SELO_ORELHA\": \"\",  \"SELO_TEMPLATE\": \"\",  \"SELO_TEXTO\": \"\",  \"SELO_BRINDE\": \"\",  \"TAG\": \"acessorios:headphone_bluetooth_t510_jbl\"}",</v>
      </c>
    </row>
    <row r="53" spans="1:1" x14ac:dyDescent="0.25">
      <c r="A53" t="str">
        <f>D18&amp;D19&amp;E19&amp;F19&amp;D20&amp;E20&amp;F20&amp;D21&amp;E21&amp;F21&amp;D22</f>
        <v xml:space="preserve"> "defaultUrlRedirect": "{ \"default\": \"&amp;utm_source=minhaclaro-deckvendas_app&amp;utm_medium=carrossel_deck&amp;utm_campaign=aparelhosmoto_e22_128gb\", \"MCLA\": \"&amp;utm_source=minhaclaro-deckvendas_web&amp;utm_medium=carrossel_deck&amp;utm_campaign=aparelhosmoto_e22_128gb\", \"MCAP\": \"&amp;utm_source=minhaclaro-deckvendas_app&amp;utm_medium=carrossel_deck&amp;utm_campaign=aparelhosmoto_e22_128gb\"}",</v>
      </c>
    </row>
    <row r="54" spans="1:1" x14ac:dyDescent="0.25">
      <c r="A54" t="str">
        <f t="shared" ref="A54:A60" si="3">D23&amp;E23&amp;F23</f>
        <v xml:space="preserve"> "descricao": "Carrossel de Acessorios - Deck de Vendas",</v>
      </c>
    </row>
    <row r="55" spans="1:1" x14ac:dyDescent="0.25">
      <c r="A55" t="str">
        <f t="shared" si="3"/>
        <v xml:space="preserve"> "segmento":"CONTROLE,CONTROLE_FACIL",</v>
      </c>
    </row>
    <row r="56" spans="1:1" x14ac:dyDescent="0.25">
      <c r="A56" t="str">
        <f t="shared" si="3"/>
        <v xml:space="preserve"> "nome": "Headphone Bluetooth T510 JBL",</v>
      </c>
    </row>
    <row r="57" spans="1:1" x14ac:dyDescent="0.25">
      <c r="A57" t="str">
        <f t="shared" si="3"/>
        <v xml:space="preserve"> "prioridade":3,</v>
      </c>
    </row>
    <row r="58" spans="1:1" x14ac:dyDescent="0.25">
      <c r="A58" t="str">
        <f t="shared" si="3"/>
        <v xml:space="preserve"> "textoPrincipal": "JBL",</v>
      </c>
    </row>
    <row r="59" spans="1:1" x14ac:dyDescent="0.25">
      <c r="A59" t="str">
        <f t="shared" si="3"/>
        <v xml:space="preserve"> "textoSecundario": "0",</v>
      </c>
    </row>
    <row r="60" spans="1:1" x14ac:dyDescent="0.25">
      <c r="A60" t="str">
        <f t="shared" si="3"/>
        <v xml:space="preserve"> "tipo": "deck_accessories"</v>
      </c>
    </row>
    <row r="61" spans="1:1" x14ac:dyDescent="0.25">
      <c r="A61" t="str">
        <f>D30</f>
        <v>},</v>
      </c>
    </row>
    <row r="62" spans="1:1" x14ac:dyDescent="0.25">
      <c r="A62" t="str">
        <f>G2</f>
        <v>{</v>
      </c>
    </row>
    <row r="63" spans="1:1" x14ac:dyDescent="0.25">
      <c r="A63" t="str">
        <f>G3&amp;H3&amp;I3</f>
        <v xml:space="preserve"> "idcampanha":"0",</v>
      </c>
    </row>
    <row r="64" spans="1:1" x14ac:dyDescent="0.25">
      <c r="A64" t="str">
        <f>G4&amp;H4&amp;I4</f>
        <v xml:space="preserve"> "ativo":true,</v>
      </c>
    </row>
    <row r="65" spans="1:1" x14ac:dyDescent="0.25">
      <c r="A65" t="str">
        <f>G5&amp;H5&amp;I5</f>
        <v xml:space="preserve"> "codCampanha":"MOTOE22128GBPOS",</v>
      </c>
    </row>
    <row r="66" spans="1:1" x14ac:dyDescent="0.25">
      <c r="A66" t="str">
        <f>G6&amp;B33&amp;G7&amp;H7&amp;I7&amp;G8&amp;H8&amp;I8&amp;G9&amp;H9&amp;I9&amp;G10&amp;H10&amp;I10&amp;G11&amp;H11&amp;I11&amp;G12&amp;H12&amp;I12&amp;G13&amp;H13&amp;I13&amp;G14&amp;H14&amp;I14&amp;G15&amp;H15&amp;I15&amp;G16&amp;H16&amp;I16&amp;G17</f>
        <v xml:space="preserve"> "defaultMetaData": "{  \"TEMPLATE\": \"acessorios\",  \"PRECO_DE\": \"\", \"PRECO_POR\": \"0\", \"VALOR_PARCELA\": \"0,99\", \"QTD_PARCELA\": \"12\", \"URL_IMG\": \"https://assets.clarobrasil.mobi/ecommerce-config/sales-deck/claro_0_JBL_headphone_bluetooth_T510_branco.png\",  \"SELO_ORELHA\": \"\",  \"SELO_TEMPLATE\": \"\",  \"SELO_TEXTO\": \"\",  \"SELO_BRINDE\": \"\",  \"TAG\": \"acessorios:headphone_bluetooth_t510_jbl\"}",</v>
      </c>
    </row>
    <row r="67" spans="1:1" x14ac:dyDescent="0.25">
      <c r="A67" t="str">
        <f>G18&amp;G19&amp;H19&amp;I19&amp;G20&amp;H20&amp;I20&amp;G21&amp;H21&amp;I21&amp;G22</f>
        <v xml:space="preserve"> "defaultUrlRedirect": "{ \"default\": \"&amp;utm_source=minhaclaro-deckvendas_app&amp;utm_medium=carrossel_deck&amp;utm_campaign=aparelhosmoto_e22_128gb\", \"MCLA\": \"&amp;utm_source=minhaclaro-deckvendas_web&amp;utm_medium=carrossel_deck&amp;utm_campaign=aparelhosmoto_e22_128gb\", \"MCAP\": \"&amp;utm_source=minhaclaro-deckvendas_app&amp;utm_medium=carrossel_deck&amp;utm_campaign=aparelhosmoto_e22_128gb\"}",</v>
      </c>
    </row>
    <row r="68" spans="1:1" x14ac:dyDescent="0.25">
      <c r="A68" t="str">
        <f t="shared" ref="A68:A74" si="4">G23&amp;H23&amp;I23</f>
        <v xml:space="preserve"> "descricao": "Carrossel de Acessorios - Deck de Vendas",</v>
      </c>
    </row>
    <row r="69" spans="1:1" x14ac:dyDescent="0.25">
      <c r="A69" t="str">
        <f t="shared" si="4"/>
        <v xml:space="preserve"> "segmento":"POS_PAGO",</v>
      </c>
    </row>
    <row r="70" spans="1:1" x14ac:dyDescent="0.25">
      <c r="A70" t="str">
        <f t="shared" si="4"/>
        <v xml:space="preserve"> "nome": "Headphone Bluetooth T510 JBL",</v>
      </c>
    </row>
    <row r="71" spans="1:1" x14ac:dyDescent="0.25">
      <c r="A71" t="str">
        <f t="shared" si="4"/>
        <v xml:space="preserve"> "prioridade":3,</v>
      </c>
    </row>
    <row r="72" spans="1:1" x14ac:dyDescent="0.25">
      <c r="A72" t="str">
        <f t="shared" si="4"/>
        <v xml:space="preserve"> "textoPrincipal": "JBL",</v>
      </c>
    </row>
    <row r="73" spans="1:1" x14ac:dyDescent="0.25">
      <c r="A73" t="str">
        <f t="shared" si="4"/>
        <v xml:space="preserve"> "textoSecundario": "",</v>
      </c>
    </row>
    <row r="74" spans="1:1" x14ac:dyDescent="0.25">
      <c r="A74" t="str">
        <f t="shared" si="4"/>
        <v xml:space="preserve"> "tipo": "deck_accessories"</v>
      </c>
    </row>
    <row r="75" spans="1:1" x14ac:dyDescent="0.25">
      <c r="A75" t="str">
        <f>G30</f>
        <v>},</v>
      </c>
    </row>
    <row r="77" spans="1:1" x14ac:dyDescent="0.25">
      <c r="A77" s="33" t="s">
        <v>551</v>
      </c>
    </row>
    <row r="78" spans="1:1" x14ac:dyDescent="0.25">
      <c r="A78" t="s">
        <v>158</v>
      </c>
    </row>
    <row r="79" spans="1:1" x14ac:dyDescent="0.25">
      <c r="A79" t="s">
        <v>552</v>
      </c>
    </row>
    <row r="80" spans="1:1" x14ac:dyDescent="0.25">
      <c r="A80" t="s">
        <v>206</v>
      </c>
    </row>
    <row r="81" spans="1:1" x14ac:dyDescent="0.25">
      <c r="A81" t="s">
        <v>553</v>
      </c>
    </row>
    <row r="82" spans="1:1" x14ac:dyDescent="0.25">
      <c r="A82" t="s">
        <v>554</v>
      </c>
    </row>
    <row r="83" spans="1:1" x14ac:dyDescent="0.25">
      <c r="A83" t="s">
        <v>1067</v>
      </c>
    </row>
    <row r="84" spans="1:1" x14ac:dyDescent="0.25">
      <c r="A84" t="s">
        <v>427</v>
      </c>
    </row>
    <row r="85" spans="1:1" x14ac:dyDescent="0.25">
      <c r="A85" t="s">
        <v>210</v>
      </c>
    </row>
    <row r="86" spans="1:1" x14ac:dyDescent="0.25">
      <c r="A86" t="s">
        <v>545</v>
      </c>
    </row>
    <row r="87" spans="1:1" x14ac:dyDescent="0.25">
      <c r="A87" t="s">
        <v>546</v>
      </c>
    </row>
    <row r="88" spans="1:1" x14ac:dyDescent="0.25">
      <c r="A88" t="s">
        <v>213</v>
      </c>
    </row>
    <row r="89" spans="1:1" x14ac:dyDescent="0.25">
      <c r="A89" t="s">
        <v>214</v>
      </c>
    </row>
    <row r="90" spans="1:1" x14ac:dyDescent="0.25">
      <c r="A90" t="s">
        <v>555</v>
      </c>
    </row>
    <row r="91" spans="1:1" x14ac:dyDescent="0.25">
      <c r="A91" t="s">
        <v>202</v>
      </c>
    </row>
  </sheetData>
  <mergeCells count="3">
    <mergeCell ref="A1:B1"/>
    <mergeCell ref="D1:E1"/>
    <mergeCell ref="G1:H1"/>
  </mergeCells>
  <hyperlinks>
    <hyperlink ref="B19" r:id="rId1" display="https://planoscelular.claro.com.br/claroCampaigns/subcampaign?sku=000000000000018259&amp;campaign=CBA&amp;subCampaign=S45&amp;paymentMethod=debitcard&amp;loyalty=true&amp;invoiceType=DIGITAL&amp;city=&amp;state=&amp;processType=migrate&amp;offerPlanId=22285&amp;smartphone=true" xr:uid="{55E53B90-63A7-493C-B1BA-3682A6DAEE09}"/>
    <hyperlink ref="K1" r:id="rId2" xr:uid="{F197BC25-3D20-44BE-8023-B59569F65DF2}"/>
  </hyperlinks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E5011-9BC4-4B74-BC30-CFFE27075CB8}">
  <sheetPr codeName="Planilha8"/>
  <dimension ref="A1:V50"/>
  <sheetViews>
    <sheetView tabSelected="1" topLeftCell="A5" zoomScaleNormal="100" workbookViewId="0">
      <selection activeCell="A15" sqref="A15:XFD20"/>
    </sheetView>
  </sheetViews>
  <sheetFormatPr defaultRowHeight="15" x14ac:dyDescent="0.25"/>
  <cols>
    <col min="3" max="3" width="6.140625" customWidth="1"/>
    <col min="4" max="4" width="37.85546875" customWidth="1"/>
    <col min="5" max="5" width="6.42578125" customWidth="1"/>
    <col min="6" max="6" width="29.28515625" customWidth="1"/>
    <col min="7" max="7" width="38.85546875" customWidth="1"/>
    <col min="8" max="8" width="44.42578125" customWidth="1"/>
    <col min="9" max="9" width="69.140625" customWidth="1"/>
    <col min="12" max="12" width="37.7109375" customWidth="1"/>
    <col min="13" max="13" width="39.140625" bestFit="1" customWidth="1"/>
    <col min="14" max="14" width="13.140625" customWidth="1"/>
    <col min="15" max="15" width="23.5703125" customWidth="1"/>
    <col min="16" max="16" width="12.5703125" customWidth="1"/>
    <col min="17" max="17" width="13.5703125" customWidth="1"/>
    <col min="18" max="18" width="12.5703125" customWidth="1"/>
    <col min="19" max="19" width="35.28515625" customWidth="1"/>
    <col min="20" max="20" width="41.85546875" customWidth="1"/>
    <col min="21" max="21" width="27.5703125" customWidth="1"/>
    <col min="22" max="22" width="25.28515625" customWidth="1"/>
  </cols>
  <sheetData>
    <row r="1" spans="1:22" x14ac:dyDescent="0.25">
      <c r="C1" s="69" t="s">
        <v>203</v>
      </c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  <c r="Q1" s="69"/>
      <c r="R1" s="69"/>
    </row>
    <row r="2" spans="1:22" x14ac:dyDescent="0.25">
      <c r="P2" s="70" t="s">
        <v>216</v>
      </c>
      <c r="Q2" s="70"/>
      <c r="R2" s="70"/>
    </row>
    <row r="3" spans="1:22" x14ac:dyDescent="0.25">
      <c r="C3" s="17" t="s">
        <v>556</v>
      </c>
      <c r="D3" s="17" t="s">
        <v>217</v>
      </c>
      <c r="E3" s="17" t="s">
        <v>218</v>
      </c>
      <c r="F3" s="17" t="s">
        <v>219</v>
      </c>
      <c r="G3" s="17" t="s">
        <v>221</v>
      </c>
      <c r="H3" s="17" t="s">
        <v>223</v>
      </c>
      <c r="I3" s="17" t="s">
        <v>224</v>
      </c>
      <c r="J3" s="17" t="s">
        <v>557</v>
      </c>
      <c r="K3" s="17" t="s">
        <v>558</v>
      </c>
      <c r="L3" s="17" t="s">
        <v>228</v>
      </c>
      <c r="M3" s="17" t="s">
        <v>7</v>
      </c>
      <c r="N3" s="53" t="s">
        <v>229</v>
      </c>
      <c r="O3" s="53" t="s">
        <v>635</v>
      </c>
      <c r="P3" s="17" t="s">
        <v>232</v>
      </c>
      <c r="Q3" s="17" t="s">
        <v>233</v>
      </c>
      <c r="R3" s="17" t="s">
        <v>234</v>
      </c>
      <c r="S3" s="17" t="s">
        <v>559</v>
      </c>
      <c r="T3" s="17" t="s">
        <v>560</v>
      </c>
      <c r="U3" s="17" t="s">
        <v>561</v>
      </c>
      <c r="V3" s="17" t="s">
        <v>1046</v>
      </c>
    </row>
    <row r="4" spans="1:22" x14ac:dyDescent="0.25">
      <c r="B4">
        <v>19</v>
      </c>
      <c r="C4" s="28">
        <v>3</v>
      </c>
      <c r="D4" s="28" t="s">
        <v>592</v>
      </c>
      <c r="E4" s="28" t="s">
        <v>165</v>
      </c>
      <c r="F4" s="28" t="s">
        <v>1410</v>
      </c>
      <c r="G4" s="54" t="s">
        <v>1407</v>
      </c>
      <c r="H4" s="28" t="s">
        <v>1407</v>
      </c>
      <c r="I4" s="28" t="s">
        <v>1411</v>
      </c>
      <c r="J4" s="28" t="s">
        <v>564</v>
      </c>
      <c r="K4" s="28" t="s">
        <v>565</v>
      </c>
      <c r="L4" s="28" t="s">
        <v>194</v>
      </c>
      <c r="M4" t="s">
        <v>1409</v>
      </c>
      <c r="P4" s="5" t="s">
        <v>1399</v>
      </c>
      <c r="Q4" t="s">
        <v>1262</v>
      </c>
      <c r="R4" t="s">
        <v>1399</v>
      </c>
    </row>
    <row r="6" spans="1:22" x14ac:dyDescent="0.25">
      <c r="B6" s="72" t="s">
        <v>568</v>
      </c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</row>
    <row r="7" spans="1:22" x14ac:dyDescent="0.25">
      <c r="P7" s="70" t="s">
        <v>216</v>
      </c>
      <c r="Q7" s="70"/>
      <c r="R7" s="70"/>
    </row>
    <row r="8" spans="1:22" x14ac:dyDescent="0.25">
      <c r="B8" s="20" t="s">
        <v>248</v>
      </c>
      <c r="C8" s="17" t="s">
        <v>556</v>
      </c>
      <c r="D8" s="17" t="s">
        <v>217</v>
      </c>
      <c r="E8" s="17" t="s">
        <v>218</v>
      </c>
      <c r="F8" s="17" t="s">
        <v>219</v>
      </c>
      <c r="G8" s="17" t="s">
        <v>221</v>
      </c>
      <c r="H8" s="17" t="s">
        <v>223</v>
      </c>
      <c r="I8" s="17" t="s">
        <v>224</v>
      </c>
      <c r="J8" s="17" t="s">
        <v>557</v>
      </c>
      <c r="K8" s="17" t="s">
        <v>558</v>
      </c>
      <c r="L8" s="17" t="s">
        <v>228</v>
      </c>
      <c r="M8" s="17" t="s">
        <v>7</v>
      </c>
      <c r="N8" s="53" t="s">
        <v>229</v>
      </c>
      <c r="O8" s="53" t="s">
        <v>635</v>
      </c>
      <c r="P8" s="17" t="s">
        <v>232</v>
      </c>
      <c r="Q8" s="17" t="s">
        <v>233</v>
      </c>
      <c r="R8" s="17" t="s">
        <v>234</v>
      </c>
      <c r="S8" s="17" t="s">
        <v>559</v>
      </c>
      <c r="T8" s="17" t="s">
        <v>560</v>
      </c>
      <c r="U8" s="17" t="s">
        <v>561</v>
      </c>
      <c r="V8" s="17" t="s">
        <v>1046</v>
      </c>
    </row>
    <row r="9" spans="1:22" x14ac:dyDescent="0.25">
      <c r="A9" s="4">
        <v>9</v>
      </c>
      <c r="B9" t="str">
        <f>IF(E9="true","ON-LINE","OFF-LINE")</f>
        <v>ON-LINE</v>
      </c>
      <c r="C9">
        <v>1</v>
      </c>
      <c r="D9" s="28" t="s">
        <v>1166</v>
      </c>
      <c r="E9" t="s">
        <v>165</v>
      </c>
      <c r="F9" t="s">
        <v>1160</v>
      </c>
      <c r="G9" t="s">
        <v>1161</v>
      </c>
      <c r="H9" t="s">
        <v>1162</v>
      </c>
      <c r="I9" s="11" t="s">
        <v>1417</v>
      </c>
      <c r="J9" s="11" t="s">
        <v>564</v>
      </c>
      <c r="K9" s="11" t="s">
        <v>565</v>
      </c>
      <c r="L9" t="s">
        <v>192</v>
      </c>
      <c r="M9" t="s">
        <v>1163</v>
      </c>
      <c r="P9" s="31" t="s">
        <v>1164</v>
      </c>
      <c r="Q9" s="5" t="s">
        <v>1416</v>
      </c>
      <c r="V9" t="s">
        <v>1418</v>
      </c>
    </row>
    <row r="10" spans="1:22" x14ac:dyDescent="0.25">
      <c r="A10">
        <v>10</v>
      </c>
      <c r="B10" t="str">
        <f t="shared" ref="B10:B29" si="0">IF(E10="true","ON-LINE","OFF-LINE")</f>
        <v>ON-LINE</v>
      </c>
      <c r="C10" s="54">
        <v>4</v>
      </c>
      <c r="D10" s="28" t="s">
        <v>570</v>
      </c>
      <c r="E10" s="54" t="s">
        <v>165</v>
      </c>
      <c r="F10" s="54" t="s">
        <v>1323</v>
      </c>
      <c r="G10" s="54" t="s">
        <v>1324</v>
      </c>
      <c r="H10" s="54" t="s">
        <v>563</v>
      </c>
      <c r="I10" s="54" t="s">
        <v>1325</v>
      </c>
      <c r="J10" s="54" t="s">
        <v>564</v>
      </c>
      <c r="K10" s="54" t="s">
        <v>565</v>
      </c>
      <c r="L10" s="54" t="s">
        <v>571</v>
      </c>
      <c r="M10" s="54" t="s">
        <v>1326</v>
      </c>
      <c r="N10" s="54"/>
      <c r="O10" s="54"/>
      <c r="P10" s="5" t="s">
        <v>566</v>
      </c>
      <c r="Q10" s="5" t="s">
        <v>567</v>
      </c>
      <c r="R10" s="45" t="s">
        <v>566</v>
      </c>
      <c r="S10" s="28"/>
      <c r="T10" s="28"/>
      <c r="U10" s="28"/>
    </row>
    <row r="11" spans="1:22" x14ac:dyDescent="0.25">
      <c r="A11">
        <v>11</v>
      </c>
      <c r="B11" t="str">
        <f t="shared" si="0"/>
        <v>ON-LINE</v>
      </c>
      <c r="C11" s="54">
        <v>3</v>
      </c>
      <c r="D11" s="28" t="s">
        <v>940</v>
      </c>
      <c r="E11" s="54" t="s">
        <v>165</v>
      </c>
      <c r="F11" s="54" t="s">
        <v>1327</v>
      </c>
      <c r="G11" s="54" t="s">
        <v>1328</v>
      </c>
      <c r="H11" s="54" t="s">
        <v>596</v>
      </c>
      <c r="I11" s="54" t="s">
        <v>1366</v>
      </c>
      <c r="J11" s="54" t="s">
        <v>564</v>
      </c>
      <c r="K11" s="54" t="s">
        <v>565</v>
      </c>
      <c r="L11" s="54" t="s">
        <v>194</v>
      </c>
      <c r="M11" s="54" t="s">
        <v>1329</v>
      </c>
      <c r="N11" s="54"/>
      <c r="O11" s="54"/>
      <c r="P11" s="45" t="s">
        <v>573</v>
      </c>
      <c r="Q11" s="45" t="s">
        <v>574</v>
      </c>
      <c r="R11" s="45" t="s">
        <v>573</v>
      </c>
      <c r="S11" s="28"/>
      <c r="T11" s="28"/>
      <c r="U11" s="28"/>
      <c r="V11" s="28"/>
    </row>
    <row r="12" spans="1:22" x14ac:dyDescent="0.25">
      <c r="A12" s="4">
        <v>12</v>
      </c>
      <c r="B12" t="str">
        <f t="shared" si="0"/>
        <v>ON-LINE</v>
      </c>
      <c r="C12">
        <v>5</v>
      </c>
      <c r="D12" t="s">
        <v>562</v>
      </c>
      <c r="E12" t="s">
        <v>165</v>
      </c>
      <c r="F12" t="s">
        <v>582</v>
      </c>
      <c r="G12" s="54" t="s">
        <v>583</v>
      </c>
      <c r="H12" t="s">
        <v>584</v>
      </c>
      <c r="I12" s="11" t="s">
        <v>585</v>
      </c>
      <c r="J12" s="11" t="s">
        <v>564</v>
      </c>
      <c r="K12" s="11" t="s">
        <v>565</v>
      </c>
      <c r="L12" t="s">
        <v>192</v>
      </c>
      <c r="M12" t="s">
        <v>583</v>
      </c>
      <c r="N12" t="s">
        <v>643</v>
      </c>
      <c r="O12" t="s">
        <v>644</v>
      </c>
      <c r="P12" s="5" t="s">
        <v>586</v>
      </c>
      <c r="R12" t="s">
        <v>586</v>
      </c>
    </row>
    <row r="13" spans="1:22" x14ac:dyDescent="0.25">
      <c r="A13">
        <v>13</v>
      </c>
      <c r="B13" t="str">
        <f t="shared" si="0"/>
        <v>ON-LINE</v>
      </c>
      <c r="C13">
        <v>5</v>
      </c>
      <c r="D13" t="s">
        <v>572</v>
      </c>
      <c r="E13" t="s">
        <v>165</v>
      </c>
      <c r="F13" t="s">
        <v>588</v>
      </c>
      <c r="G13" s="54" t="s">
        <v>589</v>
      </c>
      <c r="H13" t="s">
        <v>584</v>
      </c>
      <c r="I13" s="11" t="s">
        <v>590</v>
      </c>
      <c r="J13" s="11" t="s">
        <v>564</v>
      </c>
      <c r="K13" s="11" t="s">
        <v>565</v>
      </c>
      <c r="L13" t="s">
        <v>193</v>
      </c>
      <c r="M13" t="s">
        <v>589</v>
      </c>
      <c r="N13" t="s">
        <v>643</v>
      </c>
      <c r="O13" t="s">
        <v>644</v>
      </c>
      <c r="P13" t="s">
        <v>591</v>
      </c>
      <c r="Q13" t="s">
        <v>591</v>
      </c>
      <c r="R13" t="s">
        <v>591</v>
      </c>
    </row>
    <row r="14" spans="1:22" x14ac:dyDescent="0.25">
      <c r="A14">
        <v>14</v>
      </c>
      <c r="B14" t="str">
        <f t="shared" si="0"/>
        <v>ON-LINE</v>
      </c>
      <c r="C14">
        <v>5</v>
      </c>
      <c r="D14" t="s">
        <v>1167</v>
      </c>
      <c r="E14" t="s">
        <v>165</v>
      </c>
      <c r="F14" t="s">
        <v>593</v>
      </c>
      <c r="G14" s="54" t="s">
        <v>594</v>
      </c>
      <c r="H14" t="s">
        <v>584</v>
      </c>
      <c r="I14" s="11" t="s">
        <v>595</v>
      </c>
      <c r="J14" s="11" t="s">
        <v>564</v>
      </c>
      <c r="K14" s="11" t="s">
        <v>565</v>
      </c>
      <c r="L14" t="s">
        <v>194</v>
      </c>
      <c r="M14" t="s">
        <v>594</v>
      </c>
      <c r="N14" t="s">
        <v>643</v>
      </c>
      <c r="O14" t="s">
        <v>644</v>
      </c>
      <c r="P14" s="5" t="s">
        <v>939</v>
      </c>
      <c r="Q14" t="s">
        <v>939</v>
      </c>
      <c r="R14" t="s">
        <v>939</v>
      </c>
    </row>
    <row r="15" spans="1:22" x14ac:dyDescent="0.25">
      <c r="A15">
        <v>15</v>
      </c>
      <c r="B15" t="str">
        <f t="shared" si="0"/>
        <v>OFF-LINE</v>
      </c>
      <c r="C15">
        <v>10</v>
      </c>
      <c r="D15" t="s">
        <v>1087</v>
      </c>
      <c r="E15" t="s">
        <v>250</v>
      </c>
      <c r="F15" t="s">
        <v>1100</v>
      </c>
      <c r="G15" s="54" t="s">
        <v>1101</v>
      </c>
      <c r="H15" t="s">
        <v>1101</v>
      </c>
      <c r="I15" s="11" t="s">
        <v>1102</v>
      </c>
      <c r="J15" s="11" t="s">
        <v>564</v>
      </c>
      <c r="K15" s="11" t="s">
        <v>565</v>
      </c>
      <c r="L15" t="s">
        <v>194</v>
      </c>
      <c r="M15" t="s">
        <v>1101</v>
      </c>
      <c r="N15" t="s">
        <v>643</v>
      </c>
      <c r="O15" t="s">
        <v>644</v>
      </c>
      <c r="P15" s="5" t="s">
        <v>1103</v>
      </c>
      <c r="Q15" t="s">
        <v>1104</v>
      </c>
      <c r="R15" t="s">
        <v>1103</v>
      </c>
    </row>
    <row r="16" spans="1:22" x14ac:dyDescent="0.25">
      <c r="A16">
        <v>16</v>
      </c>
      <c r="B16" t="str">
        <f t="shared" si="0"/>
        <v>OFF-LINE</v>
      </c>
      <c r="C16">
        <v>10</v>
      </c>
      <c r="D16" t="s">
        <v>1182</v>
      </c>
      <c r="E16" t="s">
        <v>250</v>
      </c>
      <c r="F16" t="s">
        <v>1105</v>
      </c>
      <c r="G16" s="54" t="s">
        <v>1106</v>
      </c>
      <c r="H16" t="s">
        <v>1106</v>
      </c>
      <c r="I16" s="11" t="s">
        <v>1102</v>
      </c>
      <c r="J16" s="11" t="s">
        <v>564</v>
      </c>
      <c r="K16" s="11" t="s">
        <v>565</v>
      </c>
      <c r="L16" t="s">
        <v>193</v>
      </c>
      <c r="M16" t="s">
        <v>1106</v>
      </c>
      <c r="N16" t="s">
        <v>643</v>
      </c>
      <c r="O16" t="s">
        <v>644</v>
      </c>
      <c r="P16" s="5" t="s">
        <v>1107</v>
      </c>
      <c r="Q16" t="s">
        <v>1108</v>
      </c>
      <c r="R16" t="s">
        <v>1107</v>
      </c>
    </row>
    <row r="17" spans="1:22" x14ac:dyDescent="0.25">
      <c r="A17">
        <v>17</v>
      </c>
      <c r="B17" t="str">
        <f t="shared" si="0"/>
        <v>OFF-LINE</v>
      </c>
      <c r="C17">
        <v>10</v>
      </c>
      <c r="D17" t="s">
        <v>581</v>
      </c>
      <c r="E17" t="s">
        <v>250</v>
      </c>
      <c r="F17" t="s">
        <v>1109</v>
      </c>
      <c r="G17" s="54" t="s">
        <v>1110</v>
      </c>
      <c r="H17" t="s">
        <v>1110</v>
      </c>
      <c r="I17" s="11" t="s">
        <v>1102</v>
      </c>
      <c r="J17" s="11" t="s">
        <v>564</v>
      </c>
      <c r="K17" s="11" t="s">
        <v>565</v>
      </c>
      <c r="L17" t="s">
        <v>192</v>
      </c>
      <c r="M17" t="s">
        <v>1110</v>
      </c>
      <c r="N17" t="s">
        <v>643</v>
      </c>
      <c r="O17" t="s">
        <v>644</v>
      </c>
      <c r="P17" s="5" t="s">
        <v>1111</v>
      </c>
      <c r="Q17" t="s">
        <v>1112</v>
      </c>
      <c r="R17" t="s">
        <v>1111</v>
      </c>
    </row>
    <row r="18" spans="1:22" x14ac:dyDescent="0.25">
      <c r="A18" s="4">
        <v>18</v>
      </c>
      <c r="B18" t="str">
        <f t="shared" si="0"/>
        <v>ON-LINE</v>
      </c>
      <c r="C18" s="28">
        <v>3</v>
      </c>
      <c r="D18" s="28" t="s">
        <v>941</v>
      </c>
      <c r="E18" s="28" t="s">
        <v>165</v>
      </c>
      <c r="F18" s="28" t="s">
        <v>1406</v>
      </c>
      <c r="G18" s="54" t="s">
        <v>1407</v>
      </c>
      <c r="H18" s="28" t="s">
        <v>1407</v>
      </c>
      <c r="I18" s="28" t="s">
        <v>1408</v>
      </c>
      <c r="J18" s="28" t="s">
        <v>564</v>
      </c>
      <c r="K18" s="28" t="s">
        <v>565</v>
      </c>
      <c r="L18" s="28" t="s">
        <v>571</v>
      </c>
      <c r="M18" t="s">
        <v>1409</v>
      </c>
      <c r="P18" s="5" t="s">
        <v>1260</v>
      </c>
      <c r="Q18" t="s">
        <v>1261</v>
      </c>
      <c r="R18" t="s">
        <v>1260</v>
      </c>
    </row>
    <row r="19" spans="1:22" x14ac:dyDescent="0.25">
      <c r="A19" s="4">
        <v>19</v>
      </c>
      <c r="B19" t="str">
        <f t="shared" si="0"/>
        <v>ON-LINE</v>
      </c>
      <c r="C19" s="28">
        <v>3</v>
      </c>
      <c r="D19" s="28" t="s">
        <v>592</v>
      </c>
      <c r="E19" s="28" t="s">
        <v>165</v>
      </c>
      <c r="F19" s="28" t="s">
        <v>1410</v>
      </c>
      <c r="G19" s="54" t="s">
        <v>1407</v>
      </c>
      <c r="H19" s="28" t="s">
        <v>1407</v>
      </c>
      <c r="I19" s="28" t="s">
        <v>1411</v>
      </c>
      <c r="J19" s="28" t="s">
        <v>564</v>
      </c>
      <c r="K19" s="28" t="s">
        <v>565</v>
      </c>
      <c r="L19" s="28" t="s">
        <v>194</v>
      </c>
      <c r="M19" t="s">
        <v>1409</v>
      </c>
      <c r="P19" s="5" t="s">
        <v>1399</v>
      </c>
      <c r="Q19" t="s">
        <v>1262</v>
      </c>
      <c r="R19" t="s">
        <v>1399</v>
      </c>
    </row>
    <row r="20" spans="1:22" x14ac:dyDescent="0.25">
      <c r="A20">
        <v>20</v>
      </c>
      <c r="B20" t="str">
        <f t="shared" si="0"/>
        <v>ON-LINE</v>
      </c>
      <c r="C20" s="28">
        <v>2</v>
      </c>
      <c r="D20" s="28" t="s">
        <v>575</v>
      </c>
      <c r="E20" s="28" t="s">
        <v>165</v>
      </c>
      <c r="F20" s="28" t="s">
        <v>1168</v>
      </c>
      <c r="G20" s="54" t="s">
        <v>1169</v>
      </c>
      <c r="H20" s="28" t="s">
        <v>1170</v>
      </c>
      <c r="I20" s="28" t="s">
        <v>1171</v>
      </c>
      <c r="J20" s="28" t="s">
        <v>564</v>
      </c>
      <c r="K20" s="28" t="s">
        <v>565</v>
      </c>
      <c r="L20" s="28" t="s">
        <v>571</v>
      </c>
      <c r="M20" t="s">
        <v>1172</v>
      </c>
      <c r="P20" s="5" t="s">
        <v>1173</v>
      </c>
      <c r="Q20" t="s">
        <v>1174</v>
      </c>
      <c r="R20" t="s">
        <v>1173</v>
      </c>
    </row>
    <row r="21" spans="1:22" x14ac:dyDescent="0.25">
      <c r="A21">
        <v>21</v>
      </c>
      <c r="B21" t="str">
        <f t="shared" si="0"/>
        <v>ON-LINE</v>
      </c>
      <c r="C21" s="28">
        <v>1</v>
      </c>
      <c r="D21" s="28" t="s">
        <v>569</v>
      </c>
      <c r="E21" s="28" t="s">
        <v>165</v>
      </c>
      <c r="F21" s="28" t="s">
        <v>1175</v>
      </c>
      <c r="G21" s="54" t="s">
        <v>1176</v>
      </c>
      <c r="H21" s="28" t="s">
        <v>1177</v>
      </c>
      <c r="I21" s="28" t="s">
        <v>1178</v>
      </c>
      <c r="J21" s="28" t="s">
        <v>564</v>
      </c>
      <c r="K21" s="28" t="s">
        <v>565</v>
      </c>
      <c r="L21" s="28" t="s">
        <v>194</v>
      </c>
      <c r="M21" t="s">
        <v>1179</v>
      </c>
      <c r="P21" s="5" t="s">
        <v>1180</v>
      </c>
      <c r="Q21" t="s">
        <v>1181</v>
      </c>
      <c r="R21" t="s">
        <v>1180</v>
      </c>
    </row>
    <row r="22" spans="1:22" x14ac:dyDescent="0.25">
      <c r="A22">
        <v>22</v>
      </c>
      <c r="B22" t="str">
        <f t="shared" si="0"/>
        <v>ON-LINE</v>
      </c>
      <c r="C22" s="28">
        <v>1</v>
      </c>
      <c r="D22" s="28" t="s">
        <v>587</v>
      </c>
      <c r="E22" s="28" t="s">
        <v>165</v>
      </c>
      <c r="F22" s="28" t="s">
        <v>1183</v>
      </c>
      <c r="G22" s="28" t="s">
        <v>1184</v>
      </c>
      <c r="H22" s="28" t="s">
        <v>1184</v>
      </c>
      <c r="I22" s="28" t="s">
        <v>1185</v>
      </c>
      <c r="J22" s="28" t="s">
        <v>564</v>
      </c>
      <c r="K22" s="28" t="s">
        <v>565</v>
      </c>
      <c r="L22" s="28" t="s">
        <v>193</v>
      </c>
      <c r="M22" t="s">
        <v>1186</v>
      </c>
      <c r="P22" s="5" t="s">
        <v>1187</v>
      </c>
      <c r="Q22" t="s">
        <v>1188</v>
      </c>
      <c r="R22" t="s">
        <v>1187</v>
      </c>
    </row>
    <row r="23" spans="1:22" x14ac:dyDescent="0.25">
      <c r="A23" s="4">
        <v>23</v>
      </c>
      <c r="B23" t="str">
        <f t="shared" si="0"/>
        <v>OFF-LINE</v>
      </c>
      <c r="C23">
        <v>2</v>
      </c>
      <c r="D23" t="s">
        <v>1038</v>
      </c>
      <c r="E23" t="s">
        <v>250</v>
      </c>
      <c r="F23" t="s">
        <v>576</v>
      </c>
      <c r="G23" t="s">
        <v>577</v>
      </c>
      <c r="H23" t="s">
        <v>578</v>
      </c>
      <c r="I23" s="11" t="s">
        <v>579</v>
      </c>
      <c r="J23" s="11" t="s">
        <v>564</v>
      </c>
      <c r="K23" s="11" t="s">
        <v>565</v>
      </c>
      <c r="L23" t="s">
        <v>192</v>
      </c>
      <c r="M23" t="s">
        <v>1130</v>
      </c>
      <c r="P23" t="s">
        <v>580</v>
      </c>
      <c r="Q23" t="s">
        <v>938</v>
      </c>
      <c r="R23" t="s">
        <v>580</v>
      </c>
    </row>
    <row r="24" spans="1:22" x14ac:dyDescent="0.25">
      <c r="A24" s="4">
        <v>24</v>
      </c>
      <c r="B24" t="str">
        <f t="shared" si="0"/>
        <v>OFF-LINE</v>
      </c>
      <c r="C24">
        <v>5</v>
      </c>
      <c r="D24" t="s">
        <v>1232</v>
      </c>
      <c r="E24" t="s">
        <v>250</v>
      </c>
      <c r="F24" t="s">
        <v>1233</v>
      </c>
      <c r="G24" t="s">
        <v>1234</v>
      </c>
      <c r="H24" t="s">
        <v>1234</v>
      </c>
      <c r="I24" s="11" t="s">
        <v>1263</v>
      </c>
      <c r="J24" s="11" t="s">
        <v>564</v>
      </c>
      <c r="K24" s="11" t="s">
        <v>565</v>
      </c>
      <c r="L24" t="s">
        <v>192</v>
      </c>
      <c r="M24" t="s">
        <v>1234</v>
      </c>
      <c r="N24" t="s">
        <v>643</v>
      </c>
      <c r="O24" t="s">
        <v>644</v>
      </c>
      <c r="P24" t="s">
        <v>1235</v>
      </c>
      <c r="Q24" t="s">
        <v>1236</v>
      </c>
      <c r="R24" t="s">
        <v>1235</v>
      </c>
    </row>
    <row r="25" spans="1:22" x14ac:dyDescent="0.25">
      <c r="A25" s="4">
        <v>25</v>
      </c>
      <c r="B25" t="str">
        <f t="shared" si="0"/>
        <v>OFF-LINE</v>
      </c>
      <c r="C25">
        <v>5</v>
      </c>
      <c r="D25" t="s">
        <v>1237</v>
      </c>
      <c r="E25" t="s">
        <v>250</v>
      </c>
      <c r="F25" t="s">
        <v>1238</v>
      </c>
      <c r="G25" t="s">
        <v>1239</v>
      </c>
      <c r="H25" t="s">
        <v>1239</v>
      </c>
      <c r="I25" s="11" t="s">
        <v>1263</v>
      </c>
      <c r="J25" s="11" t="s">
        <v>564</v>
      </c>
      <c r="K25" s="11" t="s">
        <v>565</v>
      </c>
      <c r="L25" t="s">
        <v>193</v>
      </c>
      <c r="M25" t="s">
        <v>1239</v>
      </c>
      <c r="N25" t="s">
        <v>643</v>
      </c>
      <c r="O25" t="s">
        <v>644</v>
      </c>
      <c r="P25" t="s">
        <v>1240</v>
      </c>
      <c r="Q25" t="s">
        <v>1264</v>
      </c>
      <c r="R25" t="s">
        <v>1240</v>
      </c>
    </row>
    <row r="26" spans="1:22" x14ac:dyDescent="0.25">
      <c r="A26" s="4">
        <v>26</v>
      </c>
      <c r="B26" t="str">
        <f t="shared" si="0"/>
        <v>OFF-LINE</v>
      </c>
      <c r="C26">
        <v>5</v>
      </c>
      <c r="D26" t="s">
        <v>1241</v>
      </c>
      <c r="E26" t="s">
        <v>250</v>
      </c>
      <c r="F26" t="s">
        <v>1242</v>
      </c>
      <c r="G26" t="s">
        <v>1243</v>
      </c>
      <c r="H26" t="s">
        <v>1243</v>
      </c>
      <c r="I26" s="11" t="s">
        <v>1263</v>
      </c>
      <c r="J26" s="11" t="s">
        <v>564</v>
      </c>
      <c r="K26" s="11" t="s">
        <v>565</v>
      </c>
      <c r="L26" t="s">
        <v>194</v>
      </c>
      <c r="M26" t="s">
        <v>1243</v>
      </c>
      <c r="N26" t="s">
        <v>643</v>
      </c>
      <c r="O26" t="s">
        <v>644</v>
      </c>
      <c r="P26" t="s">
        <v>1265</v>
      </c>
      <c r="Q26" t="s">
        <v>1244</v>
      </c>
      <c r="R26" t="s">
        <v>1265</v>
      </c>
    </row>
    <row r="27" spans="1:22" x14ac:dyDescent="0.25">
      <c r="A27" s="4">
        <v>27</v>
      </c>
      <c r="B27" t="str">
        <f t="shared" si="0"/>
        <v>OFF-LINE</v>
      </c>
      <c r="C27">
        <v>4</v>
      </c>
      <c r="D27" t="s">
        <v>1266</v>
      </c>
      <c r="E27" t="s">
        <v>250</v>
      </c>
      <c r="F27" t="s">
        <v>1267</v>
      </c>
      <c r="G27" t="s">
        <v>1268</v>
      </c>
      <c r="H27" t="s">
        <v>1268</v>
      </c>
      <c r="I27" s="11" t="s">
        <v>1269</v>
      </c>
      <c r="J27" s="11" t="s">
        <v>564</v>
      </c>
      <c r="K27" s="11" t="s">
        <v>565</v>
      </c>
      <c r="L27" t="s">
        <v>194</v>
      </c>
      <c r="M27" t="s">
        <v>1270</v>
      </c>
      <c r="P27" t="s">
        <v>1271</v>
      </c>
      <c r="Q27" t="s">
        <v>1272</v>
      </c>
      <c r="R27" t="s">
        <v>1271</v>
      </c>
    </row>
    <row r="28" spans="1:22" x14ac:dyDescent="0.25">
      <c r="A28" s="4">
        <v>28</v>
      </c>
      <c r="B28" t="str">
        <f t="shared" si="0"/>
        <v>OFF-LINE</v>
      </c>
      <c r="C28">
        <v>1</v>
      </c>
      <c r="D28" t="s">
        <v>1316</v>
      </c>
      <c r="E28" t="s">
        <v>250</v>
      </c>
      <c r="F28" t="s">
        <v>1317</v>
      </c>
      <c r="G28" t="s">
        <v>1318</v>
      </c>
      <c r="H28" t="s">
        <v>1318</v>
      </c>
      <c r="I28" s="11" t="s">
        <v>1319</v>
      </c>
      <c r="J28" s="11" t="s">
        <v>564</v>
      </c>
      <c r="K28" s="11" t="s">
        <v>565</v>
      </c>
      <c r="L28" t="s">
        <v>192</v>
      </c>
      <c r="M28" t="s">
        <v>1320</v>
      </c>
      <c r="P28" t="s">
        <v>1164</v>
      </c>
      <c r="Q28" t="s">
        <v>1165</v>
      </c>
    </row>
    <row r="29" spans="1:22" x14ac:dyDescent="0.25">
      <c r="A29">
        <v>29</v>
      </c>
      <c r="B29" t="str">
        <f t="shared" si="0"/>
        <v>ON-LINE</v>
      </c>
      <c r="C29">
        <v>1</v>
      </c>
      <c r="D29" t="s">
        <v>1394</v>
      </c>
      <c r="E29" t="s">
        <v>165</v>
      </c>
      <c r="F29" t="s">
        <v>1395</v>
      </c>
      <c r="G29" t="s">
        <v>1396</v>
      </c>
      <c r="H29" t="s">
        <v>1396</v>
      </c>
      <c r="I29" s="11" t="s">
        <v>1397</v>
      </c>
      <c r="J29" s="11" t="s">
        <v>564</v>
      </c>
      <c r="K29" s="11" t="s">
        <v>605</v>
      </c>
      <c r="L29" t="s">
        <v>194</v>
      </c>
      <c r="M29" t="s">
        <v>1398</v>
      </c>
      <c r="Q29" t="s">
        <v>605</v>
      </c>
      <c r="R29" t="s">
        <v>1399</v>
      </c>
      <c r="S29" t="s">
        <v>1369</v>
      </c>
      <c r="T29" t="s">
        <v>1400</v>
      </c>
      <c r="V29" t="s">
        <v>200</v>
      </c>
    </row>
    <row r="30" spans="1:22" x14ac:dyDescent="0.25">
      <c r="A30" s="55"/>
      <c r="I30" s="11"/>
      <c r="J30" s="11"/>
      <c r="K30" s="11"/>
    </row>
    <row r="31" spans="1:22" x14ac:dyDescent="0.25">
      <c r="B31" s="72" t="s">
        <v>81</v>
      </c>
      <c r="C31" s="72"/>
      <c r="D31" s="72"/>
      <c r="E31" s="72"/>
      <c r="F31" s="72"/>
      <c r="G31" s="72"/>
      <c r="H31" s="72"/>
      <c r="I31" s="72"/>
      <c r="J31" s="72"/>
      <c r="K31" s="72"/>
      <c r="L31" s="72"/>
      <c r="M31" s="72"/>
      <c r="N31" s="72"/>
      <c r="O31" s="72"/>
      <c r="P31" s="72"/>
      <c r="Q31" s="72"/>
      <c r="R31" s="72"/>
    </row>
    <row r="32" spans="1:22" x14ac:dyDescent="0.25">
      <c r="P32" s="70" t="s">
        <v>216</v>
      </c>
      <c r="Q32" s="70"/>
      <c r="R32" s="70"/>
    </row>
    <row r="33" spans="1:22" x14ac:dyDescent="0.25">
      <c r="B33" s="20" t="s">
        <v>248</v>
      </c>
      <c r="C33" s="17" t="s">
        <v>556</v>
      </c>
      <c r="D33" s="17" t="s">
        <v>217</v>
      </c>
      <c r="E33" s="17" t="s">
        <v>218</v>
      </c>
      <c r="F33" s="17" t="s">
        <v>219</v>
      </c>
      <c r="G33" s="17" t="s">
        <v>221</v>
      </c>
      <c r="H33" s="17" t="s">
        <v>223</v>
      </c>
      <c r="I33" s="17" t="s">
        <v>224</v>
      </c>
      <c r="J33" s="17" t="s">
        <v>557</v>
      </c>
      <c r="K33" s="17" t="s">
        <v>558</v>
      </c>
      <c r="L33" s="17" t="s">
        <v>228</v>
      </c>
      <c r="M33" s="17" t="s">
        <v>7</v>
      </c>
      <c r="N33" s="17"/>
      <c r="O33" s="17"/>
      <c r="P33" s="17" t="s">
        <v>232</v>
      </c>
      <c r="Q33" s="17" t="s">
        <v>233</v>
      </c>
      <c r="R33" s="17" t="s">
        <v>234</v>
      </c>
      <c r="S33" s="17" t="s">
        <v>559</v>
      </c>
      <c r="T33" s="17" t="s">
        <v>560</v>
      </c>
      <c r="U33" s="17" t="s">
        <v>561</v>
      </c>
      <c r="V33" s="17" t="s">
        <v>1046</v>
      </c>
    </row>
    <row r="34" spans="1:22" x14ac:dyDescent="0.25">
      <c r="A34">
        <v>33</v>
      </c>
      <c r="B34" t="str">
        <f t="shared" ref="B34:B40" si="1">IF(E34="true","ON-LINE","OFF-LINE")</f>
        <v>ON-LINE</v>
      </c>
      <c r="C34">
        <v>2</v>
      </c>
      <c r="D34" t="s">
        <v>592</v>
      </c>
      <c r="E34" t="s">
        <v>535</v>
      </c>
      <c r="F34" t="s">
        <v>601</v>
      </c>
      <c r="G34" t="s">
        <v>602</v>
      </c>
      <c r="H34" t="s">
        <v>603</v>
      </c>
      <c r="I34" s="11" t="s">
        <v>604</v>
      </c>
      <c r="J34" s="11" t="s">
        <v>564</v>
      </c>
      <c r="K34" s="11" t="s">
        <v>605</v>
      </c>
      <c r="L34" t="s">
        <v>194</v>
      </c>
      <c r="M34" t="s">
        <v>1367</v>
      </c>
      <c r="P34" s="5"/>
      <c r="Q34" t="s">
        <v>605</v>
      </c>
      <c r="R34" s="31"/>
      <c r="S34" t="s">
        <v>606</v>
      </c>
      <c r="T34" t="s">
        <v>607</v>
      </c>
      <c r="V34" t="s">
        <v>200</v>
      </c>
    </row>
    <row r="35" spans="1:22" x14ac:dyDescent="0.25">
      <c r="A35">
        <v>34</v>
      </c>
      <c r="B35" t="str">
        <f t="shared" si="1"/>
        <v>ON-LINE</v>
      </c>
      <c r="C35">
        <v>3</v>
      </c>
      <c r="D35" t="s">
        <v>597</v>
      </c>
      <c r="E35" t="s">
        <v>165</v>
      </c>
      <c r="F35" t="s">
        <v>598</v>
      </c>
      <c r="G35" t="s">
        <v>599</v>
      </c>
      <c r="H35" t="s">
        <v>599</v>
      </c>
      <c r="I35" s="11" t="s">
        <v>600</v>
      </c>
      <c r="J35" s="11" t="s">
        <v>564</v>
      </c>
      <c r="K35" s="11" t="s">
        <v>565</v>
      </c>
      <c r="L35" t="s">
        <v>1075</v>
      </c>
      <c r="M35" t="s">
        <v>1368</v>
      </c>
      <c r="P35" s="5" t="s">
        <v>567</v>
      </c>
      <c r="Q35" s="31" t="s">
        <v>566</v>
      </c>
      <c r="R35" s="5" t="s">
        <v>567</v>
      </c>
    </row>
    <row r="36" spans="1:22" x14ac:dyDescent="0.25">
      <c r="A36">
        <v>35</v>
      </c>
      <c r="B36" t="str">
        <f t="shared" si="1"/>
        <v>ON-LINE</v>
      </c>
      <c r="C36">
        <v>4</v>
      </c>
      <c r="D36" s="19" t="s">
        <v>562</v>
      </c>
      <c r="E36" t="s">
        <v>165</v>
      </c>
      <c r="F36" t="s">
        <v>1071</v>
      </c>
      <c r="G36" t="s">
        <v>602</v>
      </c>
      <c r="H36" t="s">
        <v>603</v>
      </c>
      <c r="I36" s="11" t="s">
        <v>604</v>
      </c>
      <c r="J36" s="11" t="s">
        <v>564</v>
      </c>
      <c r="K36" s="11" t="s">
        <v>605</v>
      </c>
      <c r="M36" t="s">
        <v>1367</v>
      </c>
      <c r="Q36" t="s">
        <v>605</v>
      </c>
      <c r="S36" t="s">
        <v>606</v>
      </c>
      <c r="T36" t="s">
        <v>607</v>
      </c>
      <c r="V36" t="s">
        <v>200</v>
      </c>
    </row>
    <row r="37" spans="1:22" x14ac:dyDescent="0.25">
      <c r="A37">
        <v>36</v>
      </c>
      <c r="B37" t="str">
        <f t="shared" si="1"/>
        <v>ON-LINE</v>
      </c>
      <c r="C37">
        <v>1</v>
      </c>
      <c r="D37" t="s">
        <v>581</v>
      </c>
      <c r="E37" t="s">
        <v>165</v>
      </c>
      <c r="F37" t="s">
        <v>608</v>
      </c>
      <c r="G37" t="s">
        <v>609</v>
      </c>
      <c r="H37" t="s">
        <v>610</v>
      </c>
      <c r="I37" s="11" t="s">
        <v>611</v>
      </c>
      <c r="J37" s="11" t="s">
        <v>564</v>
      </c>
      <c r="K37" s="11" t="s">
        <v>605</v>
      </c>
      <c r="L37" t="s">
        <v>571</v>
      </c>
      <c r="M37" t="s">
        <v>610</v>
      </c>
      <c r="P37" s="5"/>
      <c r="Q37" t="s">
        <v>605</v>
      </c>
      <c r="R37" s="5"/>
      <c r="S37" t="s">
        <v>1064</v>
      </c>
      <c r="T37" t="s">
        <v>1065</v>
      </c>
      <c r="U37" t="s">
        <v>1066</v>
      </c>
      <c r="V37" t="s">
        <v>1047</v>
      </c>
    </row>
    <row r="38" spans="1:22" x14ac:dyDescent="0.25">
      <c r="A38">
        <v>37</v>
      </c>
      <c r="B38" t="str">
        <f t="shared" si="1"/>
        <v>ON-LINE</v>
      </c>
      <c r="C38">
        <v>1</v>
      </c>
      <c r="D38" t="s">
        <v>1316</v>
      </c>
      <c r="E38" t="s">
        <v>165</v>
      </c>
      <c r="F38" t="s">
        <v>1317</v>
      </c>
      <c r="G38" t="s">
        <v>1318</v>
      </c>
      <c r="H38" t="s">
        <v>1318</v>
      </c>
      <c r="I38" s="18" t="s">
        <v>1319</v>
      </c>
      <c r="J38" s="11" t="s">
        <v>564</v>
      </c>
      <c r="K38" s="11" t="s">
        <v>565</v>
      </c>
      <c r="L38" t="s">
        <v>192</v>
      </c>
      <c r="M38" t="s">
        <v>1320</v>
      </c>
      <c r="P38" t="s">
        <v>1164</v>
      </c>
      <c r="Q38" t="s">
        <v>1165</v>
      </c>
    </row>
    <row r="39" spans="1:22" x14ac:dyDescent="0.25">
      <c r="A39">
        <v>38</v>
      </c>
      <c r="B39" t="str">
        <f t="shared" si="1"/>
        <v>ON-LINE</v>
      </c>
      <c r="C39">
        <v>4</v>
      </c>
      <c r="D39" s="16" t="s">
        <v>570</v>
      </c>
      <c r="E39" t="s">
        <v>165</v>
      </c>
      <c r="F39" t="s">
        <v>1323</v>
      </c>
      <c r="G39" t="s">
        <v>1324</v>
      </c>
      <c r="H39" t="s">
        <v>563</v>
      </c>
      <c r="I39" s="18" t="s">
        <v>1325</v>
      </c>
      <c r="J39" s="18" t="s">
        <v>564</v>
      </c>
      <c r="K39" s="18" t="s">
        <v>565</v>
      </c>
      <c r="L39" t="s">
        <v>192</v>
      </c>
      <c r="M39" t="s">
        <v>1326</v>
      </c>
      <c r="P39" t="s">
        <v>566</v>
      </c>
      <c r="Q39" t="s">
        <v>567</v>
      </c>
      <c r="R39" t="s">
        <v>566</v>
      </c>
    </row>
    <row r="40" spans="1:22" x14ac:dyDescent="0.25">
      <c r="A40">
        <v>39</v>
      </c>
      <c r="B40" t="str">
        <f t="shared" si="1"/>
        <v>ON-LINE</v>
      </c>
      <c r="C40">
        <v>3</v>
      </c>
      <c r="D40" t="s">
        <v>941</v>
      </c>
      <c r="E40" t="s">
        <v>165</v>
      </c>
      <c r="F40" t="s">
        <v>1256</v>
      </c>
      <c r="G40" t="s">
        <v>1257</v>
      </c>
      <c r="H40" t="s">
        <v>1257</v>
      </c>
      <c r="I40" s="18" t="s">
        <v>1258</v>
      </c>
      <c r="J40" s="18" t="s">
        <v>564</v>
      </c>
      <c r="K40" s="18" t="s">
        <v>565</v>
      </c>
      <c r="L40" t="s">
        <v>192</v>
      </c>
      <c r="M40" t="s">
        <v>1259</v>
      </c>
      <c r="P40" t="s">
        <v>1260</v>
      </c>
      <c r="Q40" t="s">
        <v>1261</v>
      </c>
      <c r="R40" t="s">
        <v>1260</v>
      </c>
    </row>
    <row r="41" spans="1:22" x14ac:dyDescent="0.25">
      <c r="I41" s="18"/>
      <c r="J41" s="18"/>
      <c r="K41" s="18"/>
    </row>
    <row r="42" spans="1:22" x14ac:dyDescent="0.25">
      <c r="C42" s="16"/>
      <c r="G42" s="5"/>
      <c r="I42" s="18"/>
      <c r="J42" s="18"/>
      <c r="K42" s="18"/>
    </row>
    <row r="43" spans="1:22" x14ac:dyDescent="0.25">
      <c r="I43" s="18"/>
      <c r="J43" s="18"/>
      <c r="K43" s="18"/>
    </row>
    <row r="44" spans="1:22" x14ac:dyDescent="0.25">
      <c r="G44" s="5"/>
      <c r="I44" s="18"/>
      <c r="J44" s="18"/>
      <c r="K44" s="18"/>
    </row>
    <row r="45" spans="1:22" x14ac:dyDescent="0.25">
      <c r="C45" s="16"/>
      <c r="D45" s="16"/>
      <c r="I45" s="18"/>
      <c r="J45" s="18"/>
      <c r="K45" s="18"/>
    </row>
    <row r="47" spans="1:22" x14ac:dyDescent="0.25">
      <c r="C47" s="16"/>
      <c r="D47" s="16"/>
    </row>
    <row r="50" spans="3:4" x14ac:dyDescent="0.25">
      <c r="C50" s="16"/>
      <c r="D50" s="16"/>
    </row>
  </sheetData>
  <mergeCells count="6">
    <mergeCell ref="B31:R31"/>
    <mergeCell ref="P32:R32"/>
    <mergeCell ref="B6:R6"/>
    <mergeCell ref="C1:R1"/>
    <mergeCell ref="P2:R2"/>
    <mergeCell ref="P7:R7"/>
  </mergeCells>
  <conditionalFormatting sqref="B34:B40 B9:B31">
    <cfRule type="containsText" dxfId="8" priority="125" operator="containsText" text="ON">
      <formula>NOT(ISERROR(SEARCH("ON",B9)))</formula>
    </cfRule>
  </conditionalFormatting>
  <conditionalFormatting sqref="B6">
    <cfRule type="containsText" dxfId="7" priority="124" operator="containsText" text="ON">
      <formula>NOT(ISERROR(SEARCH("ON",B6)))</formula>
    </cfRule>
  </conditionalFormatting>
  <conditionalFormatting sqref="D9 D12:D30">
    <cfRule type="duplicateValues" dxfId="6" priority="123"/>
  </conditionalFormatting>
  <conditionalFormatting sqref="F9:F30">
    <cfRule type="duplicateValues" dxfId="5" priority="39"/>
  </conditionalFormatting>
  <conditionalFormatting sqref="D4">
    <cfRule type="duplicateValues" dxfId="4" priority="2"/>
  </conditionalFormatting>
  <conditionalFormatting sqref="F4">
    <cfRule type="duplicateValues" dxfId="3" priority="1"/>
  </conditionalFormatting>
  <hyperlinks>
    <hyperlink ref="P10" r:id="rId1" display="https://planoscelular.claro.com.br/claroCampaigns/subcampaign?sku=000000000000018528&amp;campaign=CBA&amp;subCampaign=&amp;paymentMethod=debitcard&amp;loyalty=true&amp;invoiceType=DIGITAL&amp;city=&amp;state=&amp;processType=migrate&amp;offerPlanId=22285&amp;text=&amp;smartphone=true&amp;utm_source=minhaclaro-deckvendas_app&amp;utm_medium=banner-cliente_deck&amp;utm_campaign=bannerdecksmartphone" xr:uid="{09827FC1-8404-4B95-A511-16D316B3D920}"/>
    <hyperlink ref="Q10" r:id="rId2" display="https://planoscelular.claro.com.br/claroCampaigns/subcampaign?sku=000000000000018528&amp;campaign=CBA&amp;subCampaign=&amp;paymentMethod=debitcard&amp;loyalty=true&amp;invoiceType=DIGITAL&amp;city=&amp;state=&amp;processType=migrate&amp;offerPlanId=22285&amp;text=&amp;smartphone=true&amp;utm_source=minhaclaro-deckvendas_site&amp;utm_medium=banner-cliente_deck&amp;utm_campaign=bannerdecksmartphone" xr:uid="{E46A2577-ED96-42EE-AF4D-1950472DBBC3}"/>
    <hyperlink ref="Q9" r:id="rId3" display="https://planoscelular.claro.com.br/claro/pt/offer-plan/externalUri?offerPlanId=22283&amp;coupon=8e1766a6de410ed72eddbd55c5490a7f03b2e5c804e41b7fc4def0dd8604ed4a&amp;msisdn=msisdn&amp;targetCampaign=migra&amp;paymentMethod=debitcard&amp;loyalty=true&amp;invoiceType=DIGITAL&amp;processType=MIGRATE&amp;utm_source=minhaclaro-deckvendas_web&amp;utm_medium=banner&amp;utm_campaign=novoecom_BannerDeckApp_15GB" xr:uid="{76FA8260-243B-4083-923C-8277ADC14B52}"/>
    <hyperlink ref="P9" r:id="rId4" display="https://planoscelular.claro.com.br/claro/pt/offer-plan/externalUri?offerPlanId=22283&amp;coupon=8e1766a6de410ed72eddbd55c5490a7f03b2e5c804e41b7fc4def0dd8604ed4a&amp;msisdn=msisdn&amp;targetCampaign=migra&amp;paymentMethod=debitcard&amp;loyalty=true&amp;invoiceType=DIGITAL&amp;processType=MIGRATE&amp;utm_source=minhaclaro-deckvendas_App&amp;utm_medium=banner&amp;utm_campaign=novoecom_BannerDeckApp_15GB " xr:uid="{F8B2984F-0D22-4841-A2B5-742285102B66}"/>
  </hyperlinks>
  <pageMargins left="0.511811024" right="0.511811024" top="0.78740157499999996" bottom="0.78740157499999996" header="0.31496062000000002" footer="0.31496062000000002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8" name="Button 1">
              <controlPr defaultSize="0" print="0" autoFill="0" autoPict="0" macro="[0]!BANNER_DECK">
                <anchor moveWithCells="1" sizeWithCells="1">
                  <from>
                    <xdr:col>0</xdr:col>
                    <xdr:colOff>28575</xdr:colOff>
                    <xdr:row>1</xdr:row>
                    <xdr:rowOff>152400</xdr:rowOff>
                  </from>
                  <to>
                    <xdr:col>1</xdr:col>
                    <xdr:colOff>581025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88ADE-9EB6-4C41-B031-3DDE07E23A2C}">
  <sheetPr codeName="Planilha9"/>
  <dimension ref="A1:H161"/>
  <sheetViews>
    <sheetView topLeftCell="B1" workbookViewId="0">
      <selection activeCell="H1" sqref="H1:H17"/>
    </sheetView>
  </sheetViews>
  <sheetFormatPr defaultRowHeight="15" x14ac:dyDescent="0.25"/>
  <cols>
    <col min="2" max="2" width="24" customWidth="1"/>
    <col min="3" max="3" width="33.85546875" customWidth="1"/>
    <col min="4" max="4" width="55.7109375" customWidth="1"/>
    <col min="5" max="5" width="7" customWidth="1"/>
    <col min="6" max="6" width="4.7109375" customWidth="1"/>
    <col min="7" max="7" width="4.28515625" customWidth="1"/>
  </cols>
  <sheetData>
    <row r="1" spans="1:8" x14ac:dyDescent="0.25">
      <c r="C1" t="s">
        <v>158</v>
      </c>
      <c r="H1" t="str">
        <f>C1</f>
        <v>{</v>
      </c>
    </row>
    <row r="2" spans="1:8" x14ac:dyDescent="0.25">
      <c r="B2" t="s">
        <v>217</v>
      </c>
      <c r="C2" t="s">
        <v>160</v>
      </c>
      <c r="D2" s="16" t="str">
        <f>'BANNER DECK'!D4</f>
        <v>74dc4f5a-de07-4c52-82dd-70c867a461fc</v>
      </c>
      <c r="E2" t="s">
        <v>161</v>
      </c>
      <c r="H2" t="str">
        <f>C2&amp;D2&amp;E2</f>
        <v xml:space="preserve"> "idcampanha":"74dc4f5a-de07-4c52-82dd-70c867a461fc",</v>
      </c>
    </row>
    <row r="3" spans="1:8" x14ac:dyDescent="0.25">
      <c r="B3" t="s">
        <v>218</v>
      </c>
      <c r="C3" t="s">
        <v>164</v>
      </c>
      <c r="D3" t="str">
        <f>'BANNER DECK'!E4</f>
        <v>true</v>
      </c>
      <c r="E3" t="s">
        <v>166</v>
      </c>
      <c r="H3" t="str">
        <f>C3&amp;D3&amp;E3</f>
        <v xml:space="preserve"> "ativo":true,</v>
      </c>
    </row>
    <row r="4" spans="1:8" x14ac:dyDescent="0.25">
      <c r="B4" t="s">
        <v>6</v>
      </c>
      <c r="C4" t="s">
        <v>168</v>
      </c>
      <c r="D4" s="1" t="str">
        <f>'BANNER DECK'!F4</f>
        <v>MOTOG23_MAES_POS</v>
      </c>
      <c r="E4" t="s">
        <v>161</v>
      </c>
      <c r="H4" t="str">
        <f>C4&amp;D4&amp;E4</f>
        <v xml:space="preserve"> "codCampanha":"MOTOG23_MAES_POS",</v>
      </c>
    </row>
    <row r="5" spans="1:8" x14ac:dyDescent="0.25">
      <c r="C5" t="s">
        <v>170</v>
      </c>
      <c r="H5" t="str">
        <f>C5&amp;C6&amp;D6&amp;E6&amp;C7&amp;D7&amp;E7&amp;C8&amp;D8&amp;E8&amp;C9&amp;D9&amp;E9&amp;C10&amp;D10&amp;E10&amp;C11&amp;D11&amp;E11&amp;C12&amp;D12&amp;E12&amp;C13&amp;D13&amp;E13&amp;C14</f>
        <v xml:space="preserve"> "defaultMetaData": "{  \"url_img\": \"https://assets.clarobrasil.mobi/ecommerce-config/sales-deck/banner-maes-motog23-pos-deck\", \"ext_img\": \".png\", \"redirect\": \"externo\", \"TITULO\": \"\", \"TEXTO_1\": \"\", \"TEXTO_2\": \"\", \"TIPO_VITRINE\": \"\", \"TAG\": \"banner:dia_das_maes_moto_g23\"}",</v>
      </c>
    </row>
    <row r="6" spans="1:8" ht="15" customHeight="1" x14ac:dyDescent="0.25">
      <c r="A6" s="73" t="s">
        <v>612</v>
      </c>
      <c r="B6" s="4" t="s">
        <v>613</v>
      </c>
      <c r="C6" t="s">
        <v>614</v>
      </c>
      <c r="D6" s="2" t="str">
        <f>'BANNER DECK'!I4</f>
        <v>banner-maes-motog23-pos-deck</v>
      </c>
      <c r="E6" t="s">
        <v>163</v>
      </c>
      <c r="H6" t="str">
        <f>C15&amp;C16&amp;D16&amp;E16&amp;C17&amp;D17&amp;E17&amp;C18&amp;D18&amp;E18&amp;C19</f>
        <v xml:space="preserve"> "defaultUrlRedirect": "{ \"default\": \"https://planoscelular.claro.com.br/claroCampaigns/subcampaign?sku=000000000000018165&amp;campaign=CBA&amp;subCampaign=&amp;paymentMethod=debitcard&amp;loyalty=true&amp;invoiceType=DIGITAL&amp;city=&amp;state=&amp;processType=migrate&amp;offerPlanId=22375&amp;text=&amp;smartphone=true&amp;utm_source=minhaclaro-deckvendas_app&amp;utm_medium=banner-cliente_deck&amp;utm_campaign=bannerdecksmartphone\", \"MCLA\": \"https://planoscelular.claro.com.br/claroCampaigns/subcampaign?sku=000000000000018525&amp;campaign=CBA&amp;subCampaign=&amp;paymentMethod=debitcard&amp;loyalty=true&amp;invoiceType=DIGITAL&amp;city=&amp;state=&amp;processType=migrate&amp;offerPlanId=22375&amp;text=&amp;smartphone=true&amp;utm_source=minhaclaro-deckvendas_site&amp;utm_medium=banner-cliente_deck&amp;utm_campaign=bannerdecksmartphone\", \"MCAP\": \"https://planoscelular.claro.com.br/claroCampaigns/subcampaign?sku=000000000000018165&amp;campaign=CBA&amp;subCampaign=&amp;paymentMethod=debitcard&amp;loyalty=true&amp;invoiceType=DIGITAL&amp;city=&amp;state=&amp;processType=migrate&amp;offerPlanId=22375&amp;text=&amp;smartphone=true&amp;utm_source=minhaclaro-deckvendas_app&amp;utm_medium=banner-cliente_deck&amp;utm_campaign=bannerdecksmartphone\"}",</v>
      </c>
    </row>
    <row r="7" spans="1:8" x14ac:dyDescent="0.25">
      <c r="A7" s="73"/>
      <c r="B7" s="4" t="s">
        <v>615</v>
      </c>
      <c r="C7" t="s">
        <v>616</v>
      </c>
      <c r="D7" s="2" t="str">
        <f>'BANNER DECK'!J4</f>
        <v>.png</v>
      </c>
      <c r="E7" t="s">
        <v>163</v>
      </c>
      <c r="H7" t="str">
        <f>C20&amp;D20&amp;E20</f>
        <v xml:space="preserve"> "descricao": "Dia das Maes Moto G23",</v>
      </c>
    </row>
    <row r="8" spans="1:8" x14ac:dyDescent="0.25">
      <c r="C8" t="s">
        <v>617</v>
      </c>
      <c r="D8" t="str">
        <f>IF('BANNER DECK'!K4=0,"",'BANNER DECK'!K4)</f>
        <v>externo</v>
      </c>
      <c r="E8" t="s">
        <v>163</v>
      </c>
      <c r="H8" t="str">
        <f>C21&amp;D21&amp;E21</f>
        <v xml:space="preserve"> "segmento":"POS_PAGO",</v>
      </c>
    </row>
    <row r="9" spans="1:8" x14ac:dyDescent="0.25">
      <c r="C9" t="s">
        <v>618</v>
      </c>
      <c r="D9" t="str">
        <f>IF('BANNER DECK'!S4=0,"",'BANNER DECK'!S4)</f>
        <v/>
      </c>
      <c r="E9" t="s">
        <v>163</v>
      </c>
      <c r="H9" t="str">
        <f>C22&amp;D22&amp;E22</f>
        <v xml:space="preserve"> "nome": "",</v>
      </c>
    </row>
    <row r="10" spans="1:8" x14ac:dyDescent="0.25">
      <c r="C10" t="s">
        <v>619</v>
      </c>
      <c r="D10" t="str">
        <f>IF('BANNER DECK'!T4=0,"",'BANNER DECK'!T4)</f>
        <v/>
      </c>
      <c r="E10" t="s">
        <v>163</v>
      </c>
      <c r="H10" t="str">
        <f>C23&amp;C24&amp;D24&amp;E24&amp;C25</f>
        <v xml:space="preserve"> "pathImagemS3": "{ \"default\": \"sales_deck/banner-maes-motog23-pos-deck-mobile.png\"}",</v>
      </c>
    </row>
    <row r="11" spans="1:8" x14ac:dyDescent="0.25">
      <c r="C11" t="s">
        <v>620</v>
      </c>
      <c r="D11" t="str">
        <f>IF('BANNER DECK'!U4=0,"",'BANNER DECK'!U4)</f>
        <v/>
      </c>
      <c r="E11" t="s">
        <v>163</v>
      </c>
      <c r="H11" t="str">
        <f t="shared" ref="H11:H16" si="0">C26&amp;D26&amp;E26</f>
        <v xml:space="preserve"> "prioridade":3,</v>
      </c>
    </row>
    <row r="12" spans="1:8" x14ac:dyDescent="0.25">
      <c r="C12" t="s">
        <v>1048</v>
      </c>
      <c r="D12" t="str">
        <f>IF('BANNER DECK'!V4=0,"",'BANNER DECK'!V4)</f>
        <v/>
      </c>
      <c r="E12" t="s">
        <v>163</v>
      </c>
      <c r="H12" t="str">
        <f t="shared" si="0"/>
        <v xml:space="preserve"> "textoPrincipal": "Dia das Maes Moto G23",</v>
      </c>
    </row>
    <row r="13" spans="1:8" x14ac:dyDescent="0.25">
      <c r="C13" t="s">
        <v>621</v>
      </c>
      <c r="D13" t="str">
        <f>'BANNER DECK'!$M$4</f>
        <v>dia_das_maes_moto_g23</v>
      </c>
      <c r="E13" t="s">
        <v>183</v>
      </c>
      <c r="H13" t="str">
        <f t="shared" si="0"/>
        <v xml:space="preserve"> "textoSecundario": "",</v>
      </c>
    </row>
    <row r="14" spans="1:8" x14ac:dyDescent="0.25">
      <c r="C14" t="s">
        <v>184</v>
      </c>
      <c r="H14" t="str">
        <f t="shared" si="0"/>
        <v xml:space="preserve"> "metodo": "",</v>
      </c>
    </row>
    <row r="15" spans="1:8" x14ac:dyDescent="0.25">
      <c r="C15" t="s">
        <v>185</v>
      </c>
      <c r="H15" t="str">
        <f t="shared" si="0"/>
        <v xml:space="preserve"> "nomeLambda": "",</v>
      </c>
    </row>
    <row r="16" spans="1:8" x14ac:dyDescent="0.25">
      <c r="A16" s="4" t="s">
        <v>216</v>
      </c>
      <c r="B16" s="4" t="s">
        <v>622</v>
      </c>
      <c r="C16" t="s">
        <v>186</v>
      </c>
      <c r="D16" s="5" t="str">
        <f>IF('BANNER DECK'!P4=0,"",'BANNER DECK'!P4)</f>
        <v>https://planoscelular.claro.com.br/claroCampaigns/subcampaign?sku=000000000000018165&amp;campaign=CBA&amp;subCampaign=&amp;paymentMethod=debitcard&amp;loyalty=true&amp;invoiceType=DIGITAL&amp;city=&amp;state=&amp;processType=migrate&amp;offerPlanId=22375&amp;text=&amp;smartphone=true&amp;utm_source=minhaclaro-deckvendas_app&amp;utm_medium=banner-cliente_deck&amp;utm_campaign=bannerdecksmartphone</v>
      </c>
      <c r="E16" t="s">
        <v>163</v>
      </c>
      <c r="H16" t="str">
        <f t="shared" si="0"/>
        <v xml:space="preserve"> "tipo": "banners_deck"</v>
      </c>
    </row>
    <row r="17" spans="1:8" x14ac:dyDescent="0.25">
      <c r="A17" s="4"/>
      <c r="B17" s="4"/>
      <c r="C17" t="s">
        <v>187</v>
      </c>
      <c r="D17" s="5" t="str">
        <f>'BANNER DECK'!Q4</f>
        <v>https://planoscelular.claro.com.br/claroCampaigns/subcampaign?sku=000000000000018525&amp;campaign=CBA&amp;subCampaign=&amp;paymentMethod=debitcard&amp;loyalty=true&amp;invoiceType=DIGITAL&amp;city=&amp;state=&amp;processType=migrate&amp;offerPlanId=22375&amp;text=&amp;smartphone=true&amp;utm_source=minhaclaro-deckvendas_site&amp;utm_medium=banner-cliente_deck&amp;utm_campaign=bannerdecksmartphone</v>
      </c>
      <c r="E17" t="s">
        <v>163</v>
      </c>
      <c r="H17" t="str">
        <f>C32</f>
        <v>},</v>
      </c>
    </row>
    <row r="18" spans="1:8" x14ac:dyDescent="0.25">
      <c r="A18" s="4"/>
      <c r="B18" s="4"/>
      <c r="C18" t="s">
        <v>188</v>
      </c>
      <c r="D18" s="5" t="str">
        <f>IF('BANNER DECK'!R4=0,"",'BANNER DECK'!R4)</f>
        <v>https://planoscelular.claro.com.br/claroCampaigns/subcampaign?sku=000000000000018165&amp;campaign=CBA&amp;subCampaign=&amp;paymentMethod=debitcard&amp;loyalty=true&amp;invoiceType=DIGITAL&amp;city=&amp;state=&amp;processType=migrate&amp;offerPlanId=22375&amp;text=&amp;smartphone=true&amp;utm_source=minhaclaro-deckvendas_app&amp;utm_medium=banner-cliente_deck&amp;utm_campaign=bannerdecksmartphone</v>
      </c>
      <c r="E18" t="s">
        <v>183</v>
      </c>
    </row>
    <row r="19" spans="1:8" x14ac:dyDescent="0.25">
      <c r="C19" t="s">
        <v>184</v>
      </c>
    </row>
    <row r="20" spans="1:8" x14ac:dyDescent="0.25">
      <c r="B20" t="s">
        <v>223</v>
      </c>
      <c r="C20" t="s">
        <v>189</v>
      </c>
      <c r="D20" t="str">
        <f>'BANNER DECK'!H4</f>
        <v>Dia das Maes Moto G23</v>
      </c>
      <c r="E20" t="s">
        <v>161</v>
      </c>
    </row>
    <row r="21" spans="1:8" x14ac:dyDescent="0.25">
      <c r="B21" t="s">
        <v>228</v>
      </c>
      <c r="C21" t="s">
        <v>191</v>
      </c>
      <c r="D21" t="str">
        <f>IF('BANNER DECK'!L4=0,"",'BANNER DECK'!L4)</f>
        <v>POS_PAGO</v>
      </c>
      <c r="E21" t="s">
        <v>161</v>
      </c>
    </row>
    <row r="22" spans="1:8" x14ac:dyDescent="0.25">
      <c r="B22" t="s">
        <v>5</v>
      </c>
      <c r="C22" t="s">
        <v>195</v>
      </c>
      <c r="E22" t="s">
        <v>161</v>
      </c>
    </row>
    <row r="23" spans="1:8" x14ac:dyDescent="0.25">
      <c r="C23" t="s">
        <v>623</v>
      </c>
    </row>
    <row r="24" spans="1:8" x14ac:dyDescent="0.25">
      <c r="A24" s="4" t="s">
        <v>624</v>
      </c>
      <c r="B24" s="4" t="s">
        <v>622</v>
      </c>
      <c r="C24" t="s">
        <v>625</v>
      </c>
      <c r="D24" s="21" t="str">
        <f>'BANNER DECK'!I4&amp;"-mobile"&amp;D7</f>
        <v>banner-maes-motog23-pos-deck-mobile.png</v>
      </c>
      <c r="E24" t="s">
        <v>183</v>
      </c>
    </row>
    <row r="25" spans="1:8" x14ac:dyDescent="0.25">
      <c r="C25" t="s">
        <v>184</v>
      </c>
    </row>
    <row r="26" spans="1:8" x14ac:dyDescent="0.25">
      <c r="B26" t="s">
        <v>556</v>
      </c>
      <c r="C26" t="s">
        <v>196</v>
      </c>
      <c r="D26">
        <f>'BANNER DECK'!C4</f>
        <v>3</v>
      </c>
      <c r="E26" t="s">
        <v>166</v>
      </c>
    </row>
    <row r="27" spans="1:8" x14ac:dyDescent="0.25">
      <c r="B27" t="s">
        <v>4</v>
      </c>
      <c r="C27" t="s">
        <v>197</v>
      </c>
      <c r="D27" t="str">
        <f>'BANNER DECK'!G4</f>
        <v>Dia das Maes Moto G23</v>
      </c>
      <c r="E27" t="s">
        <v>161</v>
      </c>
    </row>
    <row r="28" spans="1:8" x14ac:dyDescent="0.25">
      <c r="B28" t="s">
        <v>626</v>
      </c>
      <c r="C28" t="s">
        <v>198</v>
      </c>
      <c r="E28" t="s">
        <v>161</v>
      </c>
    </row>
    <row r="29" spans="1:8" x14ac:dyDescent="0.25">
      <c r="C29" t="s">
        <v>398</v>
      </c>
      <c r="D29" t="str">
        <f>IF('BANNER DECK'!N4=0,"",'BANNER DECK'!N4)</f>
        <v/>
      </c>
      <c r="E29" t="s">
        <v>161</v>
      </c>
    </row>
    <row r="30" spans="1:8" x14ac:dyDescent="0.25">
      <c r="C30" t="s">
        <v>1189</v>
      </c>
      <c r="D30" t="str">
        <f>IF('BANNER DECK'!O4=0,"",'BANNER DECK'!O4)</f>
        <v/>
      </c>
      <c r="E30" t="s">
        <v>161</v>
      </c>
    </row>
    <row r="31" spans="1:8" ht="15" customHeight="1" x14ac:dyDescent="0.25">
      <c r="B31" t="s">
        <v>627</v>
      </c>
      <c r="C31" t="s">
        <v>199</v>
      </c>
      <c r="D31" t="s">
        <v>628</v>
      </c>
      <c r="E31" t="s">
        <v>201</v>
      </c>
    </row>
    <row r="32" spans="1:8" x14ac:dyDescent="0.25">
      <c r="C32" t="s">
        <v>202</v>
      </c>
    </row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spans="2:2" hidden="1" x14ac:dyDescent="0.25"/>
    <row r="146" spans="2:2" hidden="1" x14ac:dyDescent="0.25"/>
    <row r="147" spans="2:2" hidden="1" x14ac:dyDescent="0.25"/>
    <row r="148" spans="2:2" hidden="1" x14ac:dyDescent="0.25"/>
    <row r="149" spans="2:2" hidden="1" x14ac:dyDescent="0.25"/>
    <row r="150" spans="2:2" hidden="1" x14ac:dyDescent="0.25"/>
    <row r="151" spans="2:2" hidden="1" x14ac:dyDescent="0.25"/>
    <row r="152" spans="2:2" hidden="1" x14ac:dyDescent="0.25"/>
    <row r="153" spans="2:2" hidden="1" x14ac:dyDescent="0.25"/>
    <row r="154" spans="2:2" hidden="1" x14ac:dyDescent="0.25"/>
    <row r="155" spans="2:2" hidden="1" x14ac:dyDescent="0.25"/>
    <row r="156" spans="2:2" hidden="1" x14ac:dyDescent="0.25"/>
    <row r="157" spans="2:2" hidden="1" x14ac:dyDescent="0.25"/>
    <row r="158" spans="2:2" hidden="1" x14ac:dyDescent="0.25">
      <c r="B158" t="s">
        <v>629</v>
      </c>
    </row>
    <row r="159" spans="2:2" hidden="1" x14ac:dyDescent="0.25">
      <c r="B159" t="s">
        <v>630</v>
      </c>
    </row>
    <row r="160" spans="2:2" hidden="1" x14ac:dyDescent="0.25">
      <c r="B160" t="s">
        <v>631</v>
      </c>
    </row>
    <row r="161" spans="2:2" hidden="1" x14ac:dyDescent="0.25">
      <c r="B161" t="s">
        <v>440</v>
      </c>
    </row>
  </sheetData>
  <autoFilter ref="A2:E31" xr:uid="{C4D88ADE-9EB6-4C41-B031-3DDE07E23A2C}"/>
  <mergeCells count="1">
    <mergeCell ref="A6:A7"/>
  </mergeCells>
  <hyperlinks>
    <hyperlink ref="D16" r:id="rId1" display="https://planoscelular.claro.com.br/claroCampaigns/subcampaign?sku=000000000000018325&amp;campaign=CBA&amp;subCampaign=&amp;paymentMethod=debitcard&amp;loyalty=true&amp;invoiceType=DIGITAL&amp;city=&amp;state=&amp;processType=migrate&amp;offerPlanId=22283&amp;smartphone=true&amp;utm_source=minhaclaro&amp;utm_medium=banner_aparelho_site&amp;utm_campaign=moto_g62_128gb_ctr8gb_banner_aparelho_site" xr:uid="{67604800-26B2-4DFD-98A8-152F90E24A9F}"/>
    <hyperlink ref="D17" r:id="rId2" display="https://planoscelular.claro.com.br/claroCampaigns/subcampaign?sku=000000000000018325&amp;campaign=CBA&amp;subCampaign=&amp;paymentMethod=debitcard&amp;loyalty=true&amp;invoiceType=DIGITAL&amp;city=&amp;state=&amp;processType=migrate&amp;offerPlanId=22283&amp;smartphone=true&amp;utm_source=minhaclaro&amp;utm_medium=banner_aparelho_site&amp;utm_campaign=moto_g62_128gb_ctr8gb_banner_aparelho_site" xr:uid="{11EAF17F-71C3-4D4D-8B5B-2B8757797CE7}"/>
    <hyperlink ref="D18" r:id="rId3" display="https://planoscelular.claro.com.br/claroCampaigns/subcampaign?sku=000000000000018217&amp;campaign=CBA&amp;subCampaign=S45&amp;paymentMethod=debitcard&amp;loyalty=true&amp;invoiceType=DIGITAL&amp;city=&amp;state=&amp;processType=migrate&amp;offerPlanId=22375&amp;smartphone=true&amp;utm_source=minhaclaro-deckvendas_app&amp;utm_medium=banner-cliente_deck&amp;utm_campaign=bannerdecksmartphone" xr:uid="{19A63C8D-5B1D-46FA-B8EA-B5E2BA483DFB}"/>
  </hyperlinks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AFBDDA-2385-42B7-8AF2-6708ADF3B442}">
  <sheetPr codeName="Planilha11"/>
  <dimension ref="A1:Y27"/>
  <sheetViews>
    <sheetView topLeftCell="K1" zoomScaleNormal="100" workbookViewId="0">
      <selection activeCell="X6" sqref="X6:X7"/>
    </sheetView>
  </sheetViews>
  <sheetFormatPr defaultRowHeight="15" x14ac:dyDescent="0.25"/>
  <cols>
    <col min="1" max="1" width="11.42578125" customWidth="1"/>
    <col min="2" max="2" width="10.42578125" customWidth="1"/>
    <col min="3" max="3" width="36.7109375" bestFit="1" customWidth="1"/>
    <col min="5" max="5" width="22.140625" customWidth="1"/>
    <col min="6" max="6" width="23.5703125" customWidth="1"/>
    <col min="7" max="7" width="14.42578125" customWidth="1"/>
    <col min="8" max="8" width="45.7109375" customWidth="1"/>
    <col min="9" max="9" width="87" customWidth="1"/>
    <col min="10" max="10" width="22.5703125" customWidth="1"/>
    <col min="11" max="11" width="21" customWidth="1"/>
    <col min="12" max="12" width="19.28515625" customWidth="1"/>
    <col min="13" max="13" width="38.140625" customWidth="1"/>
    <col min="14" max="15" width="13.5703125" customWidth="1"/>
    <col min="16" max="16" width="35.140625" customWidth="1"/>
    <col min="17" max="17" width="16.5703125" customWidth="1"/>
    <col min="22" max="22" width="34.5703125" customWidth="1"/>
    <col min="23" max="23" width="12.42578125" customWidth="1"/>
    <col min="24" max="24" width="5.85546875" customWidth="1"/>
  </cols>
  <sheetData>
    <row r="1" spans="1:25" x14ac:dyDescent="0.25">
      <c r="V1" t="s">
        <v>158</v>
      </c>
      <c r="Y1" t="str">
        <f>V1</f>
        <v>{</v>
      </c>
    </row>
    <row r="2" spans="1:25" x14ac:dyDescent="0.25">
      <c r="B2" s="72" t="s">
        <v>203</v>
      </c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V2" t="s">
        <v>160</v>
      </c>
      <c r="W2" t="str">
        <f>C5</f>
        <v>b523b6fe-a078-4b3e-b6bb-f242bc1ef998</v>
      </c>
      <c r="X2" t="s">
        <v>161</v>
      </c>
      <c r="Y2" t="str">
        <f t="shared" ref="Y2:Y15" si="0">V2&amp;W2&amp;X2</f>
        <v xml:space="preserve"> "idcampanha":"b523b6fe-a078-4b3e-b6bb-f242bc1ef998",</v>
      </c>
    </row>
    <row r="3" spans="1:25" x14ac:dyDescent="0.25">
      <c r="R3" s="74" t="s">
        <v>216</v>
      </c>
      <c r="S3" s="74"/>
      <c r="T3" s="74"/>
      <c r="V3" t="s">
        <v>164</v>
      </c>
      <c r="W3" t="str">
        <f>D5</f>
        <v>true</v>
      </c>
      <c r="X3" t="s">
        <v>166</v>
      </c>
      <c r="Y3" t="str">
        <f t="shared" si="0"/>
        <v xml:space="preserve"> "ativo":true,</v>
      </c>
    </row>
    <row r="4" spans="1:25" x14ac:dyDescent="0.25">
      <c r="B4" s="17" t="s">
        <v>556</v>
      </c>
      <c r="C4" s="17" t="s">
        <v>217</v>
      </c>
      <c r="D4" s="17" t="s">
        <v>218</v>
      </c>
      <c r="E4" s="17" t="s">
        <v>219</v>
      </c>
      <c r="F4" s="17" t="s">
        <v>223</v>
      </c>
      <c r="G4" s="17" t="s">
        <v>220</v>
      </c>
      <c r="H4" s="17" t="s">
        <v>221</v>
      </c>
      <c r="I4" s="17" t="s">
        <v>222</v>
      </c>
      <c r="J4" s="17" t="s">
        <v>632</v>
      </c>
      <c r="K4" s="17" t="s">
        <v>633</v>
      </c>
      <c r="L4" s="17" t="s">
        <v>634</v>
      </c>
      <c r="M4" s="17" t="s">
        <v>228</v>
      </c>
      <c r="N4" s="17" t="s">
        <v>7</v>
      </c>
      <c r="O4" s="17" t="s">
        <v>229</v>
      </c>
      <c r="P4" s="17" t="s">
        <v>635</v>
      </c>
      <c r="Q4" s="17" t="s">
        <v>558</v>
      </c>
      <c r="R4" s="17" t="s">
        <v>232</v>
      </c>
      <c r="S4" s="17" t="s">
        <v>233</v>
      </c>
      <c r="T4" s="17" t="s">
        <v>234</v>
      </c>
      <c r="V4" t="s">
        <v>168</v>
      </c>
      <c r="W4" t="str">
        <f>E5</f>
        <v>BANDALARGADECK_PRE</v>
      </c>
      <c r="X4" t="s">
        <v>161</v>
      </c>
      <c r="Y4" t="str">
        <f t="shared" si="0"/>
        <v xml:space="preserve"> "codCampanha":"BANDALARGADECK_PRE",</v>
      </c>
    </row>
    <row r="5" spans="1:25" x14ac:dyDescent="0.25">
      <c r="A5">
        <v>13</v>
      </c>
      <c r="B5">
        <v>1</v>
      </c>
      <c r="C5" t="s">
        <v>678</v>
      </c>
      <c r="D5" t="s">
        <v>165</v>
      </c>
      <c r="E5" t="s">
        <v>582</v>
      </c>
      <c r="F5" t="s">
        <v>637</v>
      </c>
      <c r="G5" t="s">
        <v>584</v>
      </c>
      <c r="H5" t="s">
        <v>638</v>
      </c>
      <c r="I5" t="s">
        <v>679</v>
      </c>
      <c r="J5" t="s">
        <v>640</v>
      </c>
      <c r="K5" t="s">
        <v>641</v>
      </c>
      <c r="L5" t="s">
        <v>642</v>
      </c>
      <c r="M5" t="s">
        <v>192</v>
      </c>
      <c r="N5" t="str">
        <f>LOWER(SUBSTITUTE(F5," ","_"))</f>
        <v>banda_larga</v>
      </c>
      <c r="O5" t="s">
        <v>643</v>
      </c>
      <c r="P5" t="s">
        <v>644</v>
      </c>
      <c r="Q5" t="s">
        <v>565</v>
      </c>
      <c r="R5" s="5" t="s">
        <v>680</v>
      </c>
      <c r="S5" s="5" t="s">
        <v>680</v>
      </c>
      <c r="T5" s="5" t="s">
        <v>680</v>
      </c>
      <c r="V5" t="s">
        <v>191</v>
      </c>
      <c r="W5" t="str">
        <f>IF(M5=0,"",M5)</f>
        <v>PRE_PAGO</v>
      </c>
      <c r="X5" t="s">
        <v>161</v>
      </c>
      <c r="Y5" t="str">
        <f t="shared" si="0"/>
        <v xml:space="preserve"> "segmento":"PRE_PAGO",</v>
      </c>
    </row>
    <row r="6" spans="1:25" x14ac:dyDescent="0.25">
      <c r="V6" t="s">
        <v>398</v>
      </c>
      <c r="W6" t="str">
        <f>IF(O5=0,"",O5)</f>
        <v>lambda</v>
      </c>
      <c r="X6" t="s">
        <v>161</v>
      </c>
      <c r="Y6" t="str">
        <f t="shared" si="0"/>
        <v xml:space="preserve"> "metodo": "lambda",</v>
      </c>
    </row>
    <row r="7" spans="1:25" x14ac:dyDescent="0.25">
      <c r="B7" s="72" t="s">
        <v>568</v>
      </c>
      <c r="C7" s="72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V7" t="s">
        <v>646</v>
      </c>
      <c r="W7" t="str">
        <f>IF(P5=0,"",P5)</f>
        <v>mcm-backend-prd-ElegibilidadeOferta</v>
      </c>
      <c r="X7" t="s">
        <v>161</v>
      </c>
      <c r="Y7" t="str">
        <f t="shared" si="0"/>
        <v>"nomeLambda": "mcm-backend-prd-ElegibilidadeOferta",</v>
      </c>
    </row>
    <row r="8" spans="1:25" x14ac:dyDescent="0.25">
      <c r="R8" s="74" t="s">
        <v>216</v>
      </c>
      <c r="S8" s="74"/>
      <c r="T8" s="74"/>
      <c r="V8" t="s">
        <v>647</v>
      </c>
      <c r="W8" t="str">
        <f>L5</f>
        <v>wifi</v>
      </c>
      <c r="X8" t="s">
        <v>161</v>
      </c>
      <c r="Y8" t="str">
        <f t="shared" si="0"/>
        <v>"nomeIcone":"wifi",</v>
      </c>
    </row>
    <row r="9" spans="1:25" x14ac:dyDescent="0.25">
      <c r="B9" s="17" t="s">
        <v>556</v>
      </c>
      <c r="C9" s="17" t="s">
        <v>217</v>
      </c>
      <c r="D9" s="17" t="s">
        <v>218</v>
      </c>
      <c r="E9" s="17" t="s">
        <v>219</v>
      </c>
      <c r="F9" s="17" t="s">
        <v>223</v>
      </c>
      <c r="G9" s="17" t="s">
        <v>220</v>
      </c>
      <c r="H9" s="17" t="s">
        <v>221</v>
      </c>
      <c r="I9" s="17" t="s">
        <v>222</v>
      </c>
      <c r="J9" s="17" t="s">
        <v>632</v>
      </c>
      <c r="K9" s="17" t="s">
        <v>633</v>
      </c>
      <c r="L9" s="17" t="s">
        <v>634</v>
      </c>
      <c r="M9" s="17" t="s">
        <v>228</v>
      </c>
      <c r="N9" s="17" t="s">
        <v>7</v>
      </c>
      <c r="O9" s="17" t="s">
        <v>229</v>
      </c>
      <c r="P9" s="17" t="s">
        <v>635</v>
      </c>
      <c r="Q9" s="17" t="s">
        <v>558</v>
      </c>
      <c r="R9" s="17" t="s">
        <v>232</v>
      </c>
      <c r="S9" s="17" t="s">
        <v>233</v>
      </c>
      <c r="T9" s="17" t="s">
        <v>234</v>
      </c>
      <c r="V9" t="s">
        <v>195</v>
      </c>
      <c r="W9" t="str">
        <f>G5</f>
        <v>Banda Larga</v>
      </c>
      <c r="X9" t="s">
        <v>161</v>
      </c>
      <c r="Y9" t="str">
        <f t="shared" si="0"/>
        <v xml:space="preserve"> "nome": "Banda Larga",</v>
      </c>
    </row>
    <row r="10" spans="1:25" x14ac:dyDescent="0.25">
      <c r="A10">
        <v>10</v>
      </c>
      <c r="B10">
        <v>4</v>
      </c>
      <c r="C10" t="s">
        <v>648</v>
      </c>
      <c r="D10" t="s">
        <v>165</v>
      </c>
      <c r="E10" t="s">
        <v>649</v>
      </c>
      <c r="F10" t="s">
        <v>650</v>
      </c>
      <c r="G10" t="s">
        <v>651</v>
      </c>
      <c r="H10" t="s">
        <v>652</v>
      </c>
      <c r="I10" t="s">
        <v>653</v>
      </c>
      <c r="K10" t="s">
        <v>654</v>
      </c>
      <c r="L10" t="s">
        <v>655</v>
      </c>
      <c r="M10" t="s">
        <v>192</v>
      </c>
      <c r="N10" t="str">
        <f t="shared" ref="N10:N15" si="1">LOWER(SUBSTITUTE(F10," ","_"))</f>
        <v>claro_flex</v>
      </c>
      <c r="Q10" t="s">
        <v>565</v>
      </c>
      <c r="R10" s="5" t="s">
        <v>656</v>
      </c>
      <c r="S10" s="5" t="s">
        <v>657</v>
      </c>
      <c r="T10" s="5" t="s">
        <v>657</v>
      </c>
      <c r="V10" t="s">
        <v>196</v>
      </c>
      <c r="W10">
        <f>B5</f>
        <v>1</v>
      </c>
      <c r="X10" t="s">
        <v>166</v>
      </c>
      <c r="Y10" t="str">
        <f t="shared" si="0"/>
        <v xml:space="preserve"> "prioridade":1,</v>
      </c>
    </row>
    <row r="11" spans="1:25" x14ac:dyDescent="0.25">
      <c r="A11">
        <v>11</v>
      </c>
      <c r="B11">
        <v>3</v>
      </c>
      <c r="C11" t="s">
        <v>658</v>
      </c>
      <c r="D11" t="s">
        <v>165</v>
      </c>
      <c r="E11" t="s">
        <v>659</v>
      </c>
      <c r="F11" t="s">
        <v>660</v>
      </c>
      <c r="G11" t="s">
        <v>661</v>
      </c>
      <c r="H11" t="s">
        <v>662</v>
      </c>
      <c r="I11" t="s">
        <v>663</v>
      </c>
      <c r="K11" t="s">
        <v>664</v>
      </c>
      <c r="L11" t="s">
        <v>665</v>
      </c>
      <c r="N11" t="str">
        <f t="shared" si="1"/>
        <v>wifi_mesh</v>
      </c>
      <c r="Q11" t="s">
        <v>565</v>
      </c>
      <c r="R11" s="5" t="s">
        <v>666</v>
      </c>
      <c r="S11" s="5" t="s">
        <v>666</v>
      </c>
      <c r="T11" s="5" t="s">
        <v>666</v>
      </c>
      <c r="V11" t="s">
        <v>197</v>
      </c>
      <c r="W11" t="str">
        <f>H5</f>
        <v>Oferta especial para você que já é cliente Claro</v>
      </c>
      <c r="X11" t="s">
        <v>161</v>
      </c>
      <c r="Y11" t="str">
        <f t="shared" si="0"/>
        <v xml:space="preserve"> "textoPrincipal": "Oferta especial para você que já é cliente Claro",</v>
      </c>
    </row>
    <row r="12" spans="1:25" x14ac:dyDescent="0.25">
      <c r="A12">
        <v>12</v>
      </c>
      <c r="B12">
        <v>2</v>
      </c>
      <c r="C12" t="s">
        <v>667</v>
      </c>
      <c r="D12" t="s">
        <v>165</v>
      </c>
      <c r="E12" t="s">
        <v>668</v>
      </c>
      <c r="F12" t="s">
        <v>669</v>
      </c>
      <c r="G12" t="s">
        <v>670</v>
      </c>
      <c r="H12" t="s">
        <v>671</v>
      </c>
      <c r="I12" t="s">
        <v>672</v>
      </c>
      <c r="J12" t="s">
        <v>673</v>
      </c>
      <c r="K12" t="s">
        <v>674</v>
      </c>
      <c r="L12" t="s">
        <v>675</v>
      </c>
      <c r="M12" t="s">
        <v>676</v>
      </c>
      <c r="N12" t="str">
        <f t="shared" si="1"/>
        <v>claro_tv</v>
      </c>
      <c r="Q12" t="s">
        <v>565</v>
      </c>
      <c r="R12" t="s">
        <v>677</v>
      </c>
      <c r="S12" t="s">
        <v>677</v>
      </c>
      <c r="T12" t="s">
        <v>677</v>
      </c>
      <c r="V12" t="s">
        <v>198</v>
      </c>
      <c r="W12" t="str">
        <f>I5</f>
        <v>Assine Claro net virtua de 125 mega por apenas R$ 69,90/mês. Oferta exclusiva para cliente Claro.</v>
      </c>
      <c r="X12" t="s">
        <v>161</v>
      </c>
      <c r="Y12" t="str">
        <f t="shared" si="0"/>
        <v xml:space="preserve"> "textoSecundario": "Assine Claro net virtua de 125 mega por apenas R$ 69,90/mês. Oferta exclusiva para cliente Claro.",</v>
      </c>
    </row>
    <row r="13" spans="1:25" x14ac:dyDescent="0.25">
      <c r="A13">
        <v>13</v>
      </c>
      <c r="B13">
        <v>1</v>
      </c>
      <c r="C13" t="s">
        <v>678</v>
      </c>
      <c r="D13" t="s">
        <v>165</v>
      </c>
      <c r="E13" t="s">
        <v>582</v>
      </c>
      <c r="F13" t="s">
        <v>637</v>
      </c>
      <c r="G13" t="s">
        <v>584</v>
      </c>
      <c r="H13" t="s">
        <v>638</v>
      </c>
      <c r="I13" t="s">
        <v>679</v>
      </c>
      <c r="J13" t="s">
        <v>640</v>
      </c>
      <c r="K13" t="s">
        <v>641</v>
      </c>
      <c r="L13" t="s">
        <v>642</v>
      </c>
      <c r="M13" t="s">
        <v>192</v>
      </c>
      <c r="N13" t="str">
        <f t="shared" si="1"/>
        <v>banda_larga</v>
      </c>
      <c r="O13" t="s">
        <v>643</v>
      </c>
      <c r="P13" t="s">
        <v>644</v>
      </c>
      <c r="Q13" t="s">
        <v>565</v>
      </c>
      <c r="R13" s="5" t="s">
        <v>680</v>
      </c>
      <c r="S13" s="5" t="s">
        <v>680</v>
      </c>
      <c r="T13" s="5" t="s">
        <v>680</v>
      </c>
      <c r="V13" t="s">
        <v>189</v>
      </c>
      <c r="W13" t="str">
        <f>F5</f>
        <v>banda_larga</v>
      </c>
      <c r="X13" t="s">
        <v>161</v>
      </c>
      <c r="Y13" t="str">
        <f t="shared" si="0"/>
        <v xml:space="preserve"> "descricao": "banda_larga",</v>
      </c>
    </row>
    <row r="14" spans="1:25" x14ac:dyDescent="0.25">
      <c r="A14">
        <v>14</v>
      </c>
      <c r="B14">
        <v>1</v>
      </c>
      <c r="C14" t="s">
        <v>681</v>
      </c>
      <c r="D14" t="s">
        <v>165</v>
      </c>
      <c r="E14" t="s">
        <v>588</v>
      </c>
      <c r="F14" t="s">
        <v>637</v>
      </c>
      <c r="G14" t="s">
        <v>584</v>
      </c>
      <c r="H14" t="s">
        <v>638</v>
      </c>
      <c r="I14" t="s">
        <v>682</v>
      </c>
      <c r="J14" t="s">
        <v>640</v>
      </c>
      <c r="K14" t="s">
        <v>641</v>
      </c>
      <c r="L14" t="s">
        <v>642</v>
      </c>
      <c r="M14" t="s">
        <v>193</v>
      </c>
      <c r="N14" t="str">
        <f t="shared" si="1"/>
        <v>banda_larga</v>
      </c>
      <c r="O14" t="s">
        <v>643</v>
      </c>
      <c r="P14" t="s">
        <v>644</v>
      </c>
      <c r="Q14" t="s">
        <v>565</v>
      </c>
      <c r="R14" s="5" t="s">
        <v>683</v>
      </c>
      <c r="S14" t="s">
        <v>683</v>
      </c>
      <c r="T14" s="5" t="s">
        <v>683</v>
      </c>
      <c r="V14" t="s">
        <v>684</v>
      </c>
      <c r="W14" t="str">
        <f>IF(J5=0,"","sales_deck/"&amp;J5)</f>
        <v>sales_deck/bg_cards.png</v>
      </c>
      <c r="X14" t="s">
        <v>400</v>
      </c>
      <c r="Y14" t="str">
        <f t="shared" si="0"/>
        <v xml:space="preserve"> "pathImagemS3": "{\"default\":\"sales_deck/bg_cards.png\"}",</v>
      </c>
    </row>
    <row r="15" spans="1:25" x14ac:dyDescent="0.25">
      <c r="A15">
        <v>15</v>
      </c>
      <c r="B15">
        <v>1</v>
      </c>
      <c r="C15" t="s">
        <v>636</v>
      </c>
      <c r="D15" t="s">
        <v>165</v>
      </c>
      <c r="E15" t="s">
        <v>593</v>
      </c>
      <c r="F15" t="s">
        <v>637</v>
      </c>
      <c r="G15" t="s">
        <v>584</v>
      </c>
      <c r="H15" t="s">
        <v>638</v>
      </c>
      <c r="I15" t="s">
        <v>639</v>
      </c>
      <c r="J15" t="s">
        <v>640</v>
      </c>
      <c r="K15" t="s">
        <v>641</v>
      </c>
      <c r="L15" t="s">
        <v>642</v>
      </c>
      <c r="M15" t="s">
        <v>194</v>
      </c>
      <c r="N15" t="str">
        <f t="shared" si="1"/>
        <v>banda_larga</v>
      </c>
      <c r="O15" t="s">
        <v>643</v>
      </c>
      <c r="P15" t="s">
        <v>644</v>
      </c>
      <c r="Q15" t="s">
        <v>565</v>
      </c>
      <c r="R15" s="5" t="s">
        <v>645</v>
      </c>
      <c r="S15" s="5" t="s">
        <v>645</v>
      </c>
      <c r="T15" s="5" t="s">
        <v>645</v>
      </c>
      <c r="V15" t="s">
        <v>199</v>
      </c>
      <c r="W15" t="s">
        <v>685</v>
      </c>
      <c r="X15" t="s">
        <v>161</v>
      </c>
      <c r="Y15" t="str">
        <f t="shared" si="0"/>
        <v xml:space="preserve"> "tipo": "other_offers_deck",</v>
      </c>
    </row>
    <row r="16" spans="1:25" x14ac:dyDescent="0.25">
      <c r="B16" s="72" t="s">
        <v>81</v>
      </c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  <c r="S16" s="72"/>
      <c r="T16" s="72"/>
      <c r="V16" t="s">
        <v>185</v>
      </c>
      <c r="Y16" t="str">
        <f>V16&amp;V17&amp;W17&amp;X17&amp;V18&amp;W18&amp;X18&amp;V19&amp;W19&amp;X19&amp;V20</f>
        <v xml:space="preserve"> "defaultUrlRedirect": "{ \"default\": \"https://planos.claro.com.br/checkout/dados-pessoais?affiliateId=r1zJOII0j&amp;internetId=983&amp;utm_source=mcm&amp;utm_medium=banner-card-desk&amp;utm_campaign=mcm-banner-card-desk\", \"MCLA\": \"https://planos.claro.com.br/checkout/dados-pessoais?affiliateId=r1zJOII0j&amp;internetId=983&amp;utm_source=mcm&amp;utm_medium=banner-card-desk&amp;utm_campaign=mcm-banner-card-desk\", \"MCAP\": \"https://planos.claro.com.br/checkout/dados-pessoais?affiliateId=r1zJOII0j&amp;internetId=983&amp;utm_source=mcm&amp;utm_medium=banner-card-desk&amp;utm_campaign=mcm-banner-card-desk\"}",</v>
      </c>
    </row>
    <row r="17" spans="1:25" x14ac:dyDescent="0.25">
      <c r="A17">
        <v>17</v>
      </c>
      <c r="B17">
        <v>4</v>
      </c>
      <c r="C17" t="s">
        <v>648</v>
      </c>
      <c r="D17" t="s">
        <v>165</v>
      </c>
      <c r="E17" t="s">
        <v>649</v>
      </c>
      <c r="F17" t="s">
        <v>650</v>
      </c>
      <c r="G17" t="s">
        <v>651</v>
      </c>
      <c r="H17" t="s">
        <v>652</v>
      </c>
      <c r="I17" t="s">
        <v>653</v>
      </c>
      <c r="K17" t="s">
        <v>654</v>
      </c>
      <c r="L17" t="s">
        <v>655</v>
      </c>
      <c r="M17" t="s">
        <v>192</v>
      </c>
      <c r="N17" t="s">
        <v>650</v>
      </c>
      <c r="Q17" t="s">
        <v>565</v>
      </c>
      <c r="R17" t="s">
        <v>656</v>
      </c>
      <c r="S17" t="s">
        <v>657</v>
      </c>
      <c r="T17" t="s">
        <v>657</v>
      </c>
      <c r="V17" t="s">
        <v>186</v>
      </c>
      <c r="W17" t="str">
        <f>R5</f>
        <v>https://planos.claro.com.br/checkout/dados-pessoais?affiliateId=r1zJOII0j&amp;internetId=983&amp;utm_source=mcm&amp;utm_medium=banner-card-desk&amp;utm_campaign=mcm-banner-card-desk</v>
      </c>
      <c r="X17" t="s">
        <v>163</v>
      </c>
      <c r="Y17" t="str">
        <f>V21&amp;V22&amp;W22&amp;X22&amp;V23&amp;W23&amp;X23&amp;V24&amp;W24&amp;X24&amp;V25</f>
        <v xml:space="preserve"> "defaultMetaData": "{ \"TAG\": \"demais_ofertas:banda_larga\", \"REDIRECT\": \"externo\",  \"IMG_ICONE\": \"https://assets.clarobrasil.mobi/ecommerce-config/sales-deck/wifi.png\"}"</v>
      </c>
    </row>
    <row r="18" spans="1:25" x14ac:dyDescent="0.25">
      <c r="A18">
        <v>18</v>
      </c>
      <c r="B18">
        <v>3</v>
      </c>
      <c r="C18" t="s">
        <v>636</v>
      </c>
      <c r="D18" t="s">
        <v>165</v>
      </c>
      <c r="E18" t="s">
        <v>659</v>
      </c>
      <c r="F18" t="s">
        <v>660</v>
      </c>
      <c r="G18" t="s">
        <v>661</v>
      </c>
      <c r="H18" t="s">
        <v>662</v>
      </c>
      <c r="I18" t="s">
        <v>663</v>
      </c>
      <c r="K18" t="s">
        <v>664</v>
      </c>
      <c r="L18" t="s">
        <v>665</v>
      </c>
      <c r="N18" t="str">
        <f>LOWER(SUBSTITUTE(F18," ","_"))</f>
        <v>wifi_mesh</v>
      </c>
      <c r="Q18" t="s">
        <v>565</v>
      </c>
      <c r="R18" s="5" t="s">
        <v>666</v>
      </c>
      <c r="S18" s="5" t="s">
        <v>666</v>
      </c>
      <c r="T18" s="5" t="s">
        <v>666</v>
      </c>
      <c r="V18" t="s">
        <v>187</v>
      </c>
      <c r="W18" t="str">
        <f>S5</f>
        <v>https://planos.claro.com.br/checkout/dados-pessoais?affiliateId=r1zJOII0j&amp;internetId=983&amp;utm_source=mcm&amp;utm_medium=banner-card-desk&amp;utm_campaign=mcm-banner-card-desk</v>
      </c>
      <c r="X18" t="s">
        <v>163</v>
      </c>
      <c r="Y18" t="str">
        <f>V26</f>
        <v>},</v>
      </c>
    </row>
    <row r="19" spans="1:25" x14ac:dyDescent="0.25">
      <c r="A19">
        <v>19</v>
      </c>
      <c r="B19">
        <v>1</v>
      </c>
      <c r="C19" t="s">
        <v>658</v>
      </c>
      <c r="D19" t="s">
        <v>165</v>
      </c>
      <c r="E19" t="s">
        <v>593</v>
      </c>
      <c r="F19" t="s">
        <v>637</v>
      </c>
      <c r="G19" t="s">
        <v>584</v>
      </c>
      <c r="H19" t="s">
        <v>638</v>
      </c>
      <c r="I19" t="s">
        <v>639</v>
      </c>
      <c r="J19" t="s">
        <v>640</v>
      </c>
      <c r="K19" t="s">
        <v>641</v>
      </c>
      <c r="L19" t="s">
        <v>642</v>
      </c>
      <c r="M19" t="s">
        <v>194</v>
      </c>
      <c r="N19" t="str">
        <f>LOWER(SUBSTITUTE(F19," ","_"))</f>
        <v>banda_larga</v>
      </c>
      <c r="O19" t="s">
        <v>643</v>
      </c>
      <c r="P19" t="s">
        <v>686</v>
      </c>
      <c r="Q19" t="s">
        <v>565</v>
      </c>
      <c r="R19" s="5" t="s">
        <v>645</v>
      </c>
      <c r="S19" s="5" t="s">
        <v>645</v>
      </c>
      <c r="T19" s="5" t="s">
        <v>645</v>
      </c>
      <c r="V19" t="s">
        <v>188</v>
      </c>
      <c r="W19" t="str">
        <f>T5</f>
        <v>https://planos.claro.com.br/checkout/dados-pessoais?affiliateId=r1zJOII0j&amp;internetId=983&amp;utm_source=mcm&amp;utm_medium=banner-card-desk&amp;utm_campaign=mcm-banner-card-desk</v>
      </c>
      <c r="X19" t="s">
        <v>183</v>
      </c>
    </row>
    <row r="20" spans="1:25" x14ac:dyDescent="0.25">
      <c r="A20">
        <v>20</v>
      </c>
      <c r="B20">
        <v>2</v>
      </c>
      <c r="C20" t="s">
        <v>667</v>
      </c>
      <c r="D20" t="s">
        <v>165</v>
      </c>
      <c r="E20" t="s">
        <v>668</v>
      </c>
      <c r="F20" t="s">
        <v>669</v>
      </c>
      <c r="G20" t="s">
        <v>670</v>
      </c>
      <c r="H20" t="s">
        <v>671</v>
      </c>
      <c r="I20" t="s">
        <v>672</v>
      </c>
      <c r="J20" t="s">
        <v>673</v>
      </c>
      <c r="K20" t="s">
        <v>674</v>
      </c>
      <c r="L20" t="s">
        <v>675</v>
      </c>
      <c r="M20" t="s">
        <v>676</v>
      </c>
      <c r="N20" t="s">
        <v>669</v>
      </c>
      <c r="Q20" t="s">
        <v>565</v>
      </c>
      <c r="R20" t="s">
        <v>677</v>
      </c>
      <c r="S20" t="s">
        <v>677</v>
      </c>
      <c r="T20" t="s">
        <v>677</v>
      </c>
      <c r="V20" t="s">
        <v>184</v>
      </c>
    </row>
    <row r="21" spans="1:25" x14ac:dyDescent="0.25">
      <c r="A21">
        <v>21</v>
      </c>
      <c r="B21">
        <v>1</v>
      </c>
      <c r="C21" t="s">
        <v>678</v>
      </c>
      <c r="D21" t="s">
        <v>165</v>
      </c>
      <c r="E21" t="s">
        <v>582</v>
      </c>
      <c r="F21" t="s">
        <v>637</v>
      </c>
      <c r="G21" t="s">
        <v>584</v>
      </c>
      <c r="H21" t="s">
        <v>638</v>
      </c>
      <c r="I21" t="s">
        <v>679</v>
      </c>
      <c r="J21" t="s">
        <v>640</v>
      </c>
      <c r="K21" t="s">
        <v>641</v>
      </c>
      <c r="L21" t="s">
        <v>642</v>
      </c>
      <c r="M21" t="s">
        <v>192</v>
      </c>
      <c r="N21" t="s">
        <v>637</v>
      </c>
      <c r="O21" t="s">
        <v>643</v>
      </c>
      <c r="P21" t="s">
        <v>686</v>
      </c>
      <c r="Q21" t="s">
        <v>565</v>
      </c>
      <c r="R21" t="s">
        <v>680</v>
      </c>
      <c r="S21" t="s">
        <v>680</v>
      </c>
      <c r="T21" t="s">
        <v>680</v>
      </c>
      <c r="V21" t="s">
        <v>170</v>
      </c>
    </row>
    <row r="22" spans="1:25" x14ac:dyDescent="0.25">
      <c r="A22">
        <v>22</v>
      </c>
      <c r="B22">
        <v>1</v>
      </c>
      <c r="C22" t="s">
        <v>681</v>
      </c>
      <c r="D22" t="s">
        <v>165</v>
      </c>
      <c r="E22" t="s">
        <v>588</v>
      </c>
      <c r="F22" t="s">
        <v>637</v>
      </c>
      <c r="G22" t="s">
        <v>584</v>
      </c>
      <c r="H22" t="s">
        <v>638</v>
      </c>
      <c r="I22" t="s">
        <v>682</v>
      </c>
      <c r="J22" t="s">
        <v>640</v>
      </c>
      <c r="K22" t="s">
        <v>641</v>
      </c>
      <c r="L22" t="s">
        <v>642</v>
      </c>
      <c r="M22" t="s">
        <v>193</v>
      </c>
      <c r="N22" t="s">
        <v>637</v>
      </c>
      <c r="O22" t="s">
        <v>643</v>
      </c>
      <c r="P22" t="s">
        <v>686</v>
      </c>
      <c r="Q22" t="s">
        <v>565</v>
      </c>
      <c r="R22" t="s">
        <v>683</v>
      </c>
      <c r="S22" t="s">
        <v>683</v>
      </c>
      <c r="T22" t="s">
        <v>683</v>
      </c>
      <c r="V22" t="s">
        <v>687</v>
      </c>
      <c r="W22" t="str">
        <f>N5</f>
        <v>banda_larga</v>
      </c>
      <c r="X22" t="s">
        <v>163</v>
      </c>
    </row>
    <row r="23" spans="1:25" x14ac:dyDescent="0.25">
      <c r="A23">
        <v>23</v>
      </c>
      <c r="B23">
        <v>100</v>
      </c>
      <c r="C23" t="s">
        <v>1038</v>
      </c>
      <c r="D23" t="s">
        <v>165</v>
      </c>
      <c r="E23" t="s">
        <v>1039</v>
      </c>
      <c r="F23" t="s">
        <v>1040</v>
      </c>
      <c r="G23" t="s">
        <v>1041</v>
      </c>
      <c r="H23" t="s">
        <v>1042</v>
      </c>
      <c r="I23" t="s">
        <v>1043</v>
      </c>
      <c r="K23" t="s">
        <v>654</v>
      </c>
      <c r="L23" t="s">
        <v>655</v>
      </c>
      <c r="N23" t="s">
        <v>1040</v>
      </c>
      <c r="Q23" t="s">
        <v>1040</v>
      </c>
      <c r="R23" s="5" t="s">
        <v>1045</v>
      </c>
      <c r="S23" t="s">
        <v>1040</v>
      </c>
      <c r="T23" s="5" t="s">
        <v>1045</v>
      </c>
      <c r="V23" t="s">
        <v>1044</v>
      </c>
      <c r="W23" t="str">
        <f>Q5</f>
        <v>externo</v>
      </c>
      <c r="X23" t="s">
        <v>163</v>
      </c>
    </row>
    <row r="24" spans="1:25" x14ac:dyDescent="0.25">
      <c r="V24" t="s">
        <v>688</v>
      </c>
      <c r="W24" t="str">
        <f>K5</f>
        <v>wifi.png</v>
      </c>
      <c r="X24" t="s">
        <v>183</v>
      </c>
    </row>
    <row r="25" spans="1:25" x14ac:dyDescent="0.25">
      <c r="V25" t="s">
        <v>402</v>
      </c>
    </row>
    <row r="26" spans="1:25" x14ac:dyDescent="0.25">
      <c r="V26" t="s">
        <v>202</v>
      </c>
    </row>
    <row r="27" spans="1:25" x14ac:dyDescent="0.25">
      <c r="C27" t="s">
        <v>636</v>
      </c>
    </row>
  </sheetData>
  <mergeCells count="5">
    <mergeCell ref="B16:T16"/>
    <mergeCell ref="R8:T8"/>
    <mergeCell ref="B7:T7"/>
    <mergeCell ref="B2:T2"/>
    <mergeCell ref="R3:T3"/>
  </mergeCells>
  <conditionalFormatting sqref="B7">
    <cfRule type="containsText" dxfId="2" priority="3" operator="containsText" text="ON">
      <formula>NOT(ISERROR(SEARCH("ON",B7)))</formula>
    </cfRule>
  </conditionalFormatting>
  <conditionalFormatting sqref="B2">
    <cfRule type="containsText" dxfId="1" priority="2" operator="containsText" text="ON">
      <formula>NOT(ISERROR(SEARCH("ON",B2)))</formula>
    </cfRule>
  </conditionalFormatting>
  <conditionalFormatting sqref="B16">
    <cfRule type="containsText" dxfId="0" priority="1" operator="containsText" text="ON">
      <formula>NOT(ISERROR(SEARCH("ON",B16)))</formula>
    </cfRule>
  </conditionalFormatting>
  <hyperlinks>
    <hyperlink ref="R10" r:id="rId1" xr:uid="{1160DA18-64EE-4FC6-A6BC-97CE1EFF2E69}"/>
    <hyperlink ref="S10" r:id="rId2" xr:uid="{0F566DCD-2AC6-4CC4-A820-673D9B96F5C0}"/>
    <hyperlink ref="T10" r:id="rId3" xr:uid="{71AC7CC6-951D-429E-8B8B-A17375C3C890}"/>
    <hyperlink ref="R11" r:id="rId4" xr:uid="{7B2C1EB2-D234-4FB8-BE93-BDDB7FA98C58}"/>
    <hyperlink ref="T11" r:id="rId5" xr:uid="{E0FAC434-120B-4660-B81A-4BCB84E035E0}"/>
    <hyperlink ref="S11" r:id="rId6" xr:uid="{39AD84B6-2BD8-49B0-A41D-DE8367D29807}"/>
    <hyperlink ref="R13" r:id="rId7" xr:uid="{C8ED0EFC-7D14-4CE8-881F-55B00B6E552A}"/>
    <hyperlink ref="T13" r:id="rId8" xr:uid="{08FEDE98-AF2F-4E6A-B3C1-CDC9D901C9ED}"/>
    <hyperlink ref="S13" r:id="rId9" xr:uid="{634E9545-C92A-4B08-84D5-17C657C69975}"/>
    <hyperlink ref="R14" r:id="rId10" xr:uid="{E1DF5511-F1BB-408D-9307-468CABC32137}"/>
    <hyperlink ref="T14" r:id="rId11" xr:uid="{1C99781A-3E3D-4022-8A39-E66C7FA92FD6}"/>
    <hyperlink ref="R15" r:id="rId12" xr:uid="{0516169E-54B0-49AA-B25A-9F0FC11B2A9C}"/>
    <hyperlink ref="S15" r:id="rId13" xr:uid="{31C22759-47B5-424E-8D19-9EE40A6AF310}"/>
    <hyperlink ref="T15" r:id="rId14" xr:uid="{16A1D80E-AB1A-4F98-A76E-72613B4BFB82}"/>
    <hyperlink ref="R18" r:id="rId15" xr:uid="{437A818F-1CE6-4C35-BD54-9D11B8A91F27}"/>
    <hyperlink ref="T18" r:id="rId16" xr:uid="{1C0460BC-4FE4-4081-BC15-6447EFA5C859}"/>
    <hyperlink ref="S18" r:id="rId17" xr:uid="{1CABD743-6043-4D55-A112-32822146BC9D}"/>
    <hyperlink ref="R19" r:id="rId18" xr:uid="{EB2EC0FD-5D1F-44DE-BB36-674A9C09D018}"/>
    <hyperlink ref="S19" r:id="rId19" xr:uid="{935E4121-B5D8-4610-8A2F-925555FDEA14}"/>
    <hyperlink ref="T19" r:id="rId20" xr:uid="{A301B581-4303-4ABB-A294-7E1A8E688EA5}"/>
    <hyperlink ref="R23" r:id="rId21" location=".html/loja/outros_planos" xr:uid="{A25FCA5D-49B1-4704-893F-C156EE284750}"/>
    <hyperlink ref="T23" r:id="rId22" location=".html/loja/outros_planos" xr:uid="{1A7E82E3-E20D-45E0-8FBD-7F3384F939D6}"/>
    <hyperlink ref="R5" r:id="rId23" xr:uid="{2A43E867-D1DB-4166-B469-200DB3F3F1FE}"/>
    <hyperlink ref="T5" r:id="rId24" xr:uid="{BED7A869-0C55-48D8-918A-7471EEBD5467}"/>
    <hyperlink ref="S5" r:id="rId25" xr:uid="{3D77E6FD-5427-46EB-928A-7E0883ACD24F}"/>
  </hyperlinks>
  <pageMargins left="0.511811024" right="0.511811024" top="0.78740157499999996" bottom="0.78740157499999996" header="0.31496062000000002" footer="0.31496062000000002"/>
  <drawing r:id="rId26"/>
  <legacyDrawing r:id="rId2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28" name="Button 1">
              <controlPr defaultSize="0" print="0" autoFill="0" autoPict="0" macro="[0]!DEMAISOFERTAS">
                <anchor moveWithCells="1">
                  <from>
                    <xdr:col>0</xdr:col>
                    <xdr:colOff>133350</xdr:colOff>
                    <xdr:row>2</xdr:row>
                    <xdr:rowOff>104775</xdr:rowOff>
                  </from>
                  <to>
                    <xdr:col>0</xdr:col>
                    <xdr:colOff>723900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A6E78-FFF7-4C56-A332-C52E32F0E591}">
  <sheetPr codeName="Planilha10"/>
  <dimension ref="A3:M49"/>
  <sheetViews>
    <sheetView workbookViewId="0">
      <selection activeCell="C4" sqref="C4:L4"/>
    </sheetView>
  </sheetViews>
  <sheetFormatPr defaultRowHeight="15" x14ac:dyDescent="0.25"/>
  <cols>
    <col min="1" max="1" width="19" customWidth="1"/>
    <col min="2" max="2" width="12" customWidth="1"/>
    <col min="3" max="3" width="11.140625" customWidth="1"/>
    <col min="4" max="4" width="37.5703125" customWidth="1"/>
    <col min="5" max="5" width="7" customWidth="1"/>
    <col min="6" max="6" width="25" customWidth="1"/>
    <col min="7" max="7" width="37.42578125" customWidth="1"/>
    <col min="8" max="8" width="26.42578125" customWidth="1"/>
    <col min="9" max="9" width="68.5703125" customWidth="1"/>
    <col min="10" max="10" width="70" customWidth="1"/>
    <col min="11" max="11" width="41.85546875" customWidth="1"/>
    <col min="12" max="12" width="26.28515625" customWidth="1"/>
  </cols>
  <sheetData>
    <row r="3" spans="1:13" x14ac:dyDescent="0.25">
      <c r="A3">
        <v>26</v>
      </c>
      <c r="C3" s="17" t="s">
        <v>556</v>
      </c>
      <c r="D3" s="17" t="s">
        <v>217</v>
      </c>
      <c r="E3" s="17" t="s">
        <v>218</v>
      </c>
      <c r="F3" s="17" t="s">
        <v>219</v>
      </c>
      <c r="G3" s="17" t="s">
        <v>223</v>
      </c>
      <c r="H3" s="17" t="s">
        <v>689</v>
      </c>
      <c r="I3" s="17" t="s">
        <v>690</v>
      </c>
      <c r="J3" s="17" t="s">
        <v>691</v>
      </c>
      <c r="K3" s="17" t="s">
        <v>228</v>
      </c>
      <c r="L3" s="17" t="s">
        <v>232</v>
      </c>
    </row>
    <row r="4" spans="1:13" x14ac:dyDescent="0.25">
      <c r="C4">
        <v>3</v>
      </c>
      <c r="D4" t="s">
        <v>1360</v>
      </c>
      <c r="E4" t="s">
        <v>165</v>
      </c>
      <c r="F4" t="s">
        <v>1361</v>
      </c>
      <c r="G4" t="s">
        <v>1362</v>
      </c>
      <c r="H4" t="s">
        <v>695</v>
      </c>
      <c r="I4" t="s">
        <v>1363</v>
      </c>
      <c r="J4" t="s">
        <v>1364</v>
      </c>
      <c r="L4" s="5" t="s">
        <v>1365</v>
      </c>
    </row>
    <row r="7" spans="1:13" x14ac:dyDescent="0.25">
      <c r="B7" s="20" t="s">
        <v>248</v>
      </c>
      <c r="C7" s="17" t="s">
        <v>556</v>
      </c>
      <c r="D7" s="17" t="s">
        <v>217</v>
      </c>
      <c r="E7" s="17" t="s">
        <v>218</v>
      </c>
      <c r="F7" s="17" t="s">
        <v>219</v>
      </c>
      <c r="G7" s="17" t="s">
        <v>223</v>
      </c>
      <c r="H7" s="17" t="s">
        <v>689</v>
      </c>
      <c r="I7" s="17" t="s">
        <v>690</v>
      </c>
      <c r="J7" s="17" t="s">
        <v>691</v>
      </c>
      <c r="K7" s="17" t="s">
        <v>228</v>
      </c>
      <c r="L7" s="17" t="s">
        <v>232</v>
      </c>
      <c r="M7" s="12" t="s">
        <v>696</v>
      </c>
    </row>
    <row r="8" spans="1:13" x14ac:dyDescent="0.25">
      <c r="A8">
        <v>8</v>
      </c>
      <c r="B8" s="46" t="str">
        <f>IF(E8="true","ON LINE","OFF LINE")</f>
        <v>ON LINE</v>
      </c>
      <c r="C8">
        <v>2</v>
      </c>
      <c r="D8" s="32" t="s">
        <v>697</v>
      </c>
      <c r="E8" t="s">
        <v>165</v>
      </c>
      <c r="F8" t="s">
        <v>1094</v>
      </c>
      <c r="G8" t="s">
        <v>1095</v>
      </c>
      <c r="H8" t="s">
        <v>698</v>
      </c>
      <c r="I8" s="11" t="s">
        <v>1190</v>
      </c>
      <c r="J8" s="11" t="s">
        <v>1191</v>
      </c>
      <c r="K8" t="s">
        <v>571</v>
      </c>
      <c r="L8" s="31" t="s">
        <v>1096</v>
      </c>
      <c r="M8" t="s">
        <v>699</v>
      </c>
    </row>
    <row r="9" spans="1:13" x14ac:dyDescent="0.25">
      <c r="A9">
        <v>9</v>
      </c>
      <c r="B9" s="46" t="str">
        <f t="shared" ref="B9:B26" si="0">IF(E9="true","ON LINE","OFF LINE")</f>
        <v>ON LINE</v>
      </c>
      <c r="C9">
        <v>2</v>
      </c>
      <c r="D9" t="s">
        <v>700</v>
      </c>
      <c r="E9" t="s">
        <v>165</v>
      </c>
      <c r="F9" t="s">
        <v>1097</v>
      </c>
      <c r="G9" t="s">
        <v>1098</v>
      </c>
      <c r="H9" t="s">
        <v>698</v>
      </c>
      <c r="I9" t="s">
        <v>1192</v>
      </c>
      <c r="J9" t="s">
        <v>1193</v>
      </c>
      <c r="K9" t="s">
        <v>194</v>
      </c>
      <c r="L9" s="31" t="s">
        <v>1099</v>
      </c>
      <c r="M9" t="s">
        <v>699</v>
      </c>
    </row>
    <row r="10" spans="1:13" x14ac:dyDescent="0.25">
      <c r="A10">
        <v>10</v>
      </c>
      <c r="B10" s="4" t="str">
        <f t="shared" si="0"/>
        <v>OFF LINE</v>
      </c>
      <c r="C10">
        <v>2</v>
      </c>
      <c r="D10" t="s">
        <v>701</v>
      </c>
      <c r="E10" s="38" t="s">
        <v>250</v>
      </c>
      <c r="F10" t="s">
        <v>702</v>
      </c>
      <c r="G10" t="s">
        <v>703</v>
      </c>
      <c r="H10" t="s">
        <v>698</v>
      </c>
      <c r="I10" t="s">
        <v>704</v>
      </c>
      <c r="J10" t="s">
        <v>705</v>
      </c>
      <c r="K10" t="s">
        <v>254</v>
      </c>
      <c r="L10" s="5" t="s">
        <v>706</v>
      </c>
      <c r="M10" t="s">
        <v>699</v>
      </c>
    </row>
    <row r="11" spans="1:13" x14ac:dyDescent="0.25">
      <c r="A11">
        <v>11</v>
      </c>
      <c r="B11" s="4" t="str">
        <f t="shared" si="0"/>
        <v>OFF LINE</v>
      </c>
      <c r="C11">
        <v>2</v>
      </c>
      <c r="D11" t="s">
        <v>707</v>
      </c>
      <c r="E11" s="38" t="s">
        <v>250</v>
      </c>
      <c r="F11" t="s">
        <v>708</v>
      </c>
      <c r="G11" t="s">
        <v>709</v>
      </c>
      <c r="H11" t="s">
        <v>698</v>
      </c>
      <c r="I11" t="s">
        <v>710</v>
      </c>
      <c r="J11" t="s">
        <v>711</v>
      </c>
      <c r="L11" s="5" t="s">
        <v>712</v>
      </c>
      <c r="M11" t="s">
        <v>699</v>
      </c>
    </row>
    <row r="12" spans="1:13" x14ac:dyDescent="0.25">
      <c r="A12">
        <v>12</v>
      </c>
      <c r="B12" s="46" t="str">
        <f t="shared" si="0"/>
        <v>ON LINE</v>
      </c>
      <c r="C12">
        <v>1</v>
      </c>
      <c r="D12" t="s">
        <v>713</v>
      </c>
      <c r="E12" t="s">
        <v>165</v>
      </c>
      <c r="F12" t="s">
        <v>714</v>
      </c>
      <c r="G12" t="s">
        <v>715</v>
      </c>
      <c r="H12" t="s">
        <v>698</v>
      </c>
      <c r="I12" t="s">
        <v>716</v>
      </c>
      <c r="J12" t="s">
        <v>717</v>
      </c>
      <c r="K12" t="s">
        <v>571</v>
      </c>
      <c r="L12" s="5" t="s">
        <v>718</v>
      </c>
      <c r="M12" t="s">
        <v>699</v>
      </c>
    </row>
    <row r="13" spans="1:13" x14ac:dyDescent="0.25">
      <c r="A13">
        <v>13</v>
      </c>
      <c r="B13" s="46" t="str">
        <f t="shared" si="0"/>
        <v>ON LINE</v>
      </c>
      <c r="C13">
        <v>1</v>
      </c>
      <c r="D13" t="s">
        <v>719</v>
      </c>
      <c r="E13" t="s">
        <v>165</v>
      </c>
      <c r="F13" t="s">
        <v>720</v>
      </c>
      <c r="G13" t="s">
        <v>1092</v>
      </c>
      <c r="H13" t="s">
        <v>698</v>
      </c>
      <c r="I13" t="s">
        <v>716</v>
      </c>
      <c r="J13" t="s">
        <v>717</v>
      </c>
      <c r="K13" t="s">
        <v>194</v>
      </c>
      <c r="L13" s="5" t="s">
        <v>1093</v>
      </c>
      <c r="M13" t="s">
        <v>699</v>
      </c>
    </row>
    <row r="14" spans="1:13" x14ac:dyDescent="0.25">
      <c r="A14">
        <v>14</v>
      </c>
      <c r="B14" s="46" t="str">
        <f t="shared" si="0"/>
        <v>ON LINE</v>
      </c>
      <c r="C14">
        <v>1</v>
      </c>
      <c r="D14" t="s">
        <v>721</v>
      </c>
      <c r="E14" t="s">
        <v>165</v>
      </c>
      <c r="F14" t="s">
        <v>722</v>
      </c>
      <c r="G14" t="s">
        <v>723</v>
      </c>
      <c r="H14" t="s">
        <v>698</v>
      </c>
      <c r="I14" t="s">
        <v>724</v>
      </c>
      <c r="J14" t="s">
        <v>725</v>
      </c>
      <c r="K14" t="s">
        <v>192</v>
      </c>
      <c r="L14" s="5" t="s">
        <v>726</v>
      </c>
      <c r="M14" t="s">
        <v>727</v>
      </c>
    </row>
    <row r="15" spans="1:13" x14ac:dyDescent="0.25">
      <c r="A15">
        <v>15</v>
      </c>
      <c r="B15" s="46" t="str">
        <f t="shared" si="0"/>
        <v>ON LINE</v>
      </c>
      <c r="C15">
        <v>1</v>
      </c>
      <c r="D15" t="s">
        <v>728</v>
      </c>
      <c r="E15" t="s">
        <v>165</v>
      </c>
      <c r="F15" t="s">
        <v>729</v>
      </c>
      <c r="G15" t="s">
        <v>730</v>
      </c>
      <c r="H15" t="s">
        <v>698</v>
      </c>
      <c r="I15" t="s">
        <v>731</v>
      </c>
      <c r="J15" t="s">
        <v>732</v>
      </c>
      <c r="K15" t="s">
        <v>193</v>
      </c>
      <c r="L15" s="5" t="s">
        <v>733</v>
      </c>
      <c r="M15" t="s">
        <v>727</v>
      </c>
    </row>
    <row r="16" spans="1:13" x14ac:dyDescent="0.25">
      <c r="A16">
        <v>16</v>
      </c>
      <c r="B16" s="46" t="str">
        <f t="shared" si="0"/>
        <v>ON LINE</v>
      </c>
      <c r="C16">
        <v>1</v>
      </c>
      <c r="D16" t="s">
        <v>734</v>
      </c>
      <c r="E16" t="s">
        <v>165</v>
      </c>
      <c r="F16" t="s">
        <v>735</v>
      </c>
      <c r="G16" t="s">
        <v>736</v>
      </c>
      <c r="H16" t="s">
        <v>698</v>
      </c>
      <c r="I16" t="s">
        <v>737</v>
      </c>
      <c r="J16" t="s">
        <v>738</v>
      </c>
      <c r="K16" t="s">
        <v>194</v>
      </c>
      <c r="L16" s="5" t="s">
        <v>1088</v>
      </c>
      <c r="M16" t="s">
        <v>727</v>
      </c>
    </row>
    <row r="17" spans="1:13" x14ac:dyDescent="0.25">
      <c r="A17">
        <v>17</v>
      </c>
      <c r="B17" s="46" t="str">
        <f t="shared" si="0"/>
        <v>ON LINE</v>
      </c>
      <c r="C17">
        <v>2</v>
      </c>
      <c r="D17" t="s">
        <v>692</v>
      </c>
      <c r="E17" t="s">
        <v>165</v>
      </c>
      <c r="F17" t="s">
        <v>693</v>
      </c>
      <c r="G17" t="s">
        <v>694</v>
      </c>
      <c r="H17" t="s">
        <v>695</v>
      </c>
      <c r="I17" t="s">
        <v>1089</v>
      </c>
      <c r="J17" t="s">
        <v>1090</v>
      </c>
      <c r="L17" s="5" t="s">
        <v>1091</v>
      </c>
      <c r="M17" t="s">
        <v>739</v>
      </c>
    </row>
    <row r="18" spans="1:13" x14ac:dyDescent="0.25">
      <c r="A18">
        <v>18</v>
      </c>
      <c r="B18" s="46" t="str">
        <f t="shared" si="0"/>
        <v>ON LINE</v>
      </c>
      <c r="C18">
        <v>4</v>
      </c>
      <c r="D18" t="s">
        <v>740</v>
      </c>
      <c r="E18" t="s">
        <v>165</v>
      </c>
      <c r="F18" t="s">
        <v>741</v>
      </c>
      <c r="G18" t="s">
        <v>742</v>
      </c>
      <c r="H18" t="s">
        <v>695</v>
      </c>
      <c r="I18" t="s">
        <v>743</v>
      </c>
      <c r="J18" t="s">
        <v>744</v>
      </c>
      <c r="L18" s="5" t="s">
        <v>745</v>
      </c>
      <c r="M18" t="s">
        <v>739</v>
      </c>
    </row>
    <row r="19" spans="1:13" x14ac:dyDescent="0.25">
      <c r="A19">
        <v>19</v>
      </c>
      <c r="B19" s="46" t="str">
        <f t="shared" si="0"/>
        <v>OFF LINE</v>
      </c>
      <c r="C19">
        <v>1</v>
      </c>
      <c r="D19" t="s">
        <v>746</v>
      </c>
      <c r="E19" t="s">
        <v>250</v>
      </c>
      <c r="F19" t="s">
        <v>747</v>
      </c>
      <c r="G19" t="s">
        <v>748</v>
      </c>
      <c r="H19" t="s">
        <v>695</v>
      </c>
      <c r="I19" t="s">
        <v>749</v>
      </c>
      <c r="J19" t="s">
        <v>750</v>
      </c>
      <c r="K19" t="s">
        <v>192</v>
      </c>
      <c r="L19" s="5" t="s">
        <v>751</v>
      </c>
      <c r="M19" t="s">
        <v>739</v>
      </c>
    </row>
    <row r="20" spans="1:13" x14ac:dyDescent="0.25">
      <c r="A20">
        <v>20</v>
      </c>
      <c r="B20" s="46" t="str">
        <f t="shared" si="0"/>
        <v>OFF LINE</v>
      </c>
      <c r="C20">
        <v>1</v>
      </c>
      <c r="D20" t="s">
        <v>752</v>
      </c>
      <c r="E20" t="s">
        <v>250</v>
      </c>
      <c r="F20" t="s">
        <v>753</v>
      </c>
      <c r="G20" t="s">
        <v>754</v>
      </c>
      <c r="H20" t="s">
        <v>695</v>
      </c>
      <c r="I20" t="s">
        <v>755</v>
      </c>
      <c r="J20" t="s">
        <v>756</v>
      </c>
      <c r="L20" s="5" t="s">
        <v>757</v>
      </c>
      <c r="M20" t="s">
        <v>739</v>
      </c>
    </row>
    <row r="21" spans="1:13" x14ac:dyDescent="0.25">
      <c r="A21">
        <v>21</v>
      </c>
      <c r="B21" s="46" t="str">
        <f t="shared" si="0"/>
        <v>ON LINE</v>
      </c>
      <c r="C21">
        <v>2</v>
      </c>
      <c r="D21" t="s">
        <v>758</v>
      </c>
      <c r="E21" t="s">
        <v>165</v>
      </c>
      <c r="F21" t="s">
        <v>759</v>
      </c>
      <c r="G21" t="s">
        <v>760</v>
      </c>
      <c r="H21" t="s">
        <v>695</v>
      </c>
      <c r="I21" t="s">
        <v>761</v>
      </c>
      <c r="J21" t="s">
        <v>762</v>
      </c>
      <c r="K21" t="s">
        <v>192</v>
      </c>
      <c r="L21" s="5" t="s">
        <v>763</v>
      </c>
      <c r="M21" t="s">
        <v>739</v>
      </c>
    </row>
    <row r="22" spans="1:13" x14ac:dyDescent="0.25">
      <c r="A22" s="1">
        <v>22</v>
      </c>
      <c r="B22" s="46" t="str">
        <f t="shared" si="0"/>
        <v>ON LINE</v>
      </c>
      <c r="C22">
        <v>2</v>
      </c>
      <c r="D22" t="s">
        <v>764</v>
      </c>
      <c r="E22" t="s">
        <v>165</v>
      </c>
      <c r="F22" t="s">
        <v>1150</v>
      </c>
      <c r="G22" t="s">
        <v>1151</v>
      </c>
      <c r="H22" t="s">
        <v>698</v>
      </c>
      <c r="I22" t="s">
        <v>1152</v>
      </c>
      <c r="J22" t="s">
        <v>1153</v>
      </c>
      <c r="K22" t="s">
        <v>192</v>
      </c>
      <c r="L22" s="5" t="s">
        <v>1154</v>
      </c>
      <c r="M22" t="s">
        <v>765</v>
      </c>
    </row>
    <row r="23" spans="1:13" x14ac:dyDescent="0.25">
      <c r="A23">
        <v>23</v>
      </c>
      <c r="B23" s="46" t="str">
        <f t="shared" si="0"/>
        <v>OFF LINE</v>
      </c>
      <c r="C23">
        <v>2</v>
      </c>
      <c r="D23" t="s">
        <v>766</v>
      </c>
      <c r="E23" t="s">
        <v>250</v>
      </c>
      <c r="F23" t="s">
        <v>767</v>
      </c>
      <c r="G23" t="s">
        <v>768</v>
      </c>
      <c r="I23" t="s">
        <v>769</v>
      </c>
      <c r="J23" t="s">
        <v>770</v>
      </c>
      <c r="L23" s="5" t="s">
        <v>771</v>
      </c>
      <c r="M23" t="s">
        <v>765</v>
      </c>
    </row>
    <row r="24" spans="1:13" x14ac:dyDescent="0.25">
      <c r="A24">
        <v>24</v>
      </c>
      <c r="B24" s="46" t="str">
        <f t="shared" si="0"/>
        <v>ON LINE</v>
      </c>
      <c r="C24">
        <v>4</v>
      </c>
      <c r="D24" t="s">
        <v>772</v>
      </c>
      <c r="E24" t="s">
        <v>165</v>
      </c>
      <c r="F24" t="s">
        <v>1251</v>
      </c>
      <c r="G24" t="s">
        <v>1252</v>
      </c>
      <c r="H24" t="s">
        <v>698</v>
      </c>
      <c r="I24" t="s">
        <v>1253</v>
      </c>
      <c r="J24" t="s">
        <v>1254</v>
      </c>
      <c r="L24" s="5" t="s">
        <v>1255</v>
      </c>
      <c r="M24" t="s">
        <v>765</v>
      </c>
    </row>
    <row r="25" spans="1:13" x14ac:dyDescent="0.25">
      <c r="A25" s="1">
        <v>25</v>
      </c>
      <c r="B25" s="46" t="str">
        <f t="shared" si="0"/>
        <v>ON LINE</v>
      </c>
      <c r="C25">
        <v>2</v>
      </c>
      <c r="D25" t="s">
        <v>773</v>
      </c>
      <c r="E25" t="s">
        <v>165</v>
      </c>
      <c r="F25" t="s">
        <v>1155</v>
      </c>
      <c r="G25" t="s">
        <v>1156</v>
      </c>
      <c r="H25" t="s">
        <v>698</v>
      </c>
      <c r="I25" t="s">
        <v>1157</v>
      </c>
      <c r="J25" t="s">
        <v>1158</v>
      </c>
      <c r="K25" t="s">
        <v>254</v>
      </c>
      <c r="L25" s="5" t="s">
        <v>1159</v>
      </c>
      <c r="M25" t="s">
        <v>765</v>
      </c>
    </row>
    <row r="26" spans="1:13" x14ac:dyDescent="0.25">
      <c r="A26" s="1">
        <v>26</v>
      </c>
      <c r="B26" s="46" t="str">
        <f t="shared" si="0"/>
        <v>ON LINE</v>
      </c>
      <c r="C26">
        <v>3</v>
      </c>
      <c r="D26" t="s">
        <v>1360</v>
      </c>
      <c r="E26" t="s">
        <v>165</v>
      </c>
      <c r="F26" t="s">
        <v>1361</v>
      </c>
      <c r="G26" t="s">
        <v>1362</v>
      </c>
      <c r="H26" t="s">
        <v>695</v>
      </c>
      <c r="I26" t="s">
        <v>1363</v>
      </c>
      <c r="J26" t="s">
        <v>1364</v>
      </c>
      <c r="L26" s="5" t="s">
        <v>1365</v>
      </c>
    </row>
    <row r="27" spans="1:13" x14ac:dyDescent="0.25">
      <c r="L27" s="5"/>
    </row>
    <row r="28" spans="1:13" x14ac:dyDescent="0.25">
      <c r="A28" t="s">
        <v>774</v>
      </c>
      <c r="L28" s="5"/>
    </row>
    <row r="29" spans="1:13" x14ac:dyDescent="0.25">
      <c r="C29">
        <v>1</v>
      </c>
      <c r="D29" s="19" t="s">
        <v>775</v>
      </c>
      <c r="E29" t="s">
        <v>165</v>
      </c>
      <c r="F29" t="s">
        <v>776</v>
      </c>
      <c r="G29" t="s">
        <v>777</v>
      </c>
      <c r="H29" t="s">
        <v>778</v>
      </c>
      <c r="I29" t="s">
        <v>779</v>
      </c>
      <c r="J29" t="s">
        <v>780</v>
      </c>
      <c r="L29" t="s">
        <v>781</v>
      </c>
    </row>
    <row r="30" spans="1:13" x14ac:dyDescent="0.25">
      <c r="C30" t="s">
        <v>158</v>
      </c>
      <c r="F30" t="str">
        <f>C30</f>
        <v>{</v>
      </c>
    </row>
    <row r="31" spans="1:13" x14ac:dyDescent="0.25">
      <c r="B31" t="s">
        <v>217</v>
      </c>
      <c r="C31" t="s">
        <v>160</v>
      </c>
      <c r="D31" t="str">
        <f>D4</f>
        <v>90a3948d-3b01-4ec6-bd86-4d06df0866f7</v>
      </c>
      <c r="E31" t="s">
        <v>161</v>
      </c>
      <c r="F31" t="str">
        <f>C31&amp;D31&amp;E31</f>
        <v xml:space="preserve"> "idcampanha":"90a3948d-3b01-4ec6-bd86-4d06df0866f7",</v>
      </c>
    </row>
    <row r="32" spans="1:13" x14ac:dyDescent="0.25">
      <c r="B32" t="s">
        <v>218</v>
      </c>
      <c r="C32" t="s">
        <v>164</v>
      </c>
      <c r="D32" t="str">
        <f>E4</f>
        <v>true</v>
      </c>
      <c r="E32" t="s">
        <v>166</v>
      </c>
      <c r="F32" t="str">
        <f>C32&amp;D32&amp;E32</f>
        <v xml:space="preserve"> "ativo":true,</v>
      </c>
    </row>
    <row r="33" spans="1:6" x14ac:dyDescent="0.25">
      <c r="B33" t="s">
        <v>6</v>
      </c>
      <c r="C33" t="s">
        <v>168</v>
      </c>
      <c r="D33" s="1" t="str">
        <f>F4</f>
        <v>PROMOCLAROCLUBE</v>
      </c>
      <c r="E33" t="s">
        <v>161</v>
      </c>
      <c r="F33" t="str">
        <f>C33&amp;D33&amp;E33</f>
        <v xml:space="preserve"> "codCampanha":"PROMOCLAROCLUBE",</v>
      </c>
    </row>
    <row r="34" spans="1:6" x14ac:dyDescent="0.25">
      <c r="C34" t="s">
        <v>782</v>
      </c>
      <c r="E34" t="s">
        <v>161</v>
      </c>
      <c r="F34" t="str">
        <f>C34&amp;E34</f>
        <v xml:space="preserve"> "defaultMetaData": "",</v>
      </c>
    </row>
    <row r="35" spans="1:6" ht="15" customHeight="1" x14ac:dyDescent="0.25">
      <c r="C35" t="s">
        <v>185</v>
      </c>
      <c r="F35" t="str">
        <f>C35&amp;C36&amp;D36&amp;E36&amp;C37</f>
        <v xml:space="preserve"> "defaultUrlRedirect": "{ \"default\": \"https://www.claro.com.br/produtosclaro/promocaoclaroclube/\"}",</v>
      </c>
    </row>
    <row r="36" spans="1:6" ht="15.75" customHeight="1" x14ac:dyDescent="0.25">
      <c r="A36" s="4" t="s">
        <v>216</v>
      </c>
      <c r="B36" s="4" t="s">
        <v>622</v>
      </c>
      <c r="C36" t="s">
        <v>186</v>
      </c>
      <c r="D36" s="5" t="str">
        <f>L4</f>
        <v>https://www.claro.com.br/produtosclaro/promocaoclaroclube/</v>
      </c>
      <c r="E36" t="s">
        <v>183</v>
      </c>
      <c r="F36" t="str">
        <f>C42&amp;D42&amp;E42</f>
        <v xml:space="preserve"> "descricao": "promo_claro_clube",</v>
      </c>
    </row>
    <row r="37" spans="1:6" x14ac:dyDescent="0.25">
      <c r="C37" t="s">
        <v>184</v>
      </c>
      <c r="F37" t="str">
        <f>C43&amp;D43&amp;E43</f>
        <v xml:space="preserve"> "segmento":"",</v>
      </c>
    </row>
    <row r="38" spans="1:6" x14ac:dyDescent="0.25">
      <c r="C38" t="s">
        <v>783</v>
      </c>
      <c r="F38" t="str">
        <f>C44&amp;D44&amp;E44</f>
        <v xml:space="preserve"> "nome": "",</v>
      </c>
    </row>
    <row r="39" spans="1:6" ht="15.75" customHeight="1" x14ac:dyDescent="0.25">
      <c r="A39" s="73" t="s">
        <v>624</v>
      </c>
      <c r="B39" s="4" t="s">
        <v>622</v>
      </c>
      <c r="C39" t="s">
        <v>186</v>
      </c>
      <c r="D39" s="5" t="str">
        <f>H4&amp;"/"&amp;I4</f>
        <v>carrosselsiteeccom/Banner_site_movel_1120_x_200.jpg</v>
      </c>
      <c r="E39" t="s">
        <v>163</v>
      </c>
      <c r="F39" t="str">
        <f>C38&amp;C39&amp;D39&amp;E39&amp;C40&amp;D40&amp;E40&amp;C41</f>
        <v>"pathImagemS3": "{ \"default\": \"carrosselsiteeccom/Banner_site_movel_1120_x_200.jpg\", \"default_mobile\": \"carrosselsiteeccom/banner_site_movel_320_x_200_V2.png\"}",</v>
      </c>
    </row>
    <row r="40" spans="1:6" ht="15" customHeight="1" x14ac:dyDescent="0.25">
      <c r="A40" s="73"/>
      <c r="B40" s="4" t="s">
        <v>784</v>
      </c>
      <c r="C40" t="s">
        <v>785</v>
      </c>
      <c r="D40" s="5" t="str">
        <f>H4&amp;"/"&amp;J4</f>
        <v>carrosselsiteeccom/banner_site_movel_320_x_200_V2.png</v>
      </c>
      <c r="E40" t="s">
        <v>183</v>
      </c>
      <c r="F40" t="str">
        <f>C45&amp;D45&amp;E45</f>
        <v xml:space="preserve"> "prioridade":3,</v>
      </c>
    </row>
    <row r="41" spans="1:6" x14ac:dyDescent="0.25">
      <c r="C41" t="s">
        <v>184</v>
      </c>
      <c r="F41" t="str">
        <f>C46&amp;D46&amp;E46</f>
        <v xml:space="preserve"> "textoPrincipal": "",</v>
      </c>
    </row>
    <row r="42" spans="1:6" x14ac:dyDescent="0.25">
      <c r="B42" t="s">
        <v>223</v>
      </c>
      <c r="C42" t="s">
        <v>189</v>
      </c>
      <c r="D42" t="str">
        <f>G4</f>
        <v>promo_claro_clube</v>
      </c>
      <c r="E42" t="s">
        <v>161</v>
      </c>
      <c r="F42" t="str">
        <f>C47&amp;D47&amp;E47</f>
        <v xml:space="preserve"> "textoSecundario": "",</v>
      </c>
    </row>
    <row r="43" spans="1:6" x14ac:dyDescent="0.25">
      <c r="B43" t="s">
        <v>228</v>
      </c>
      <c r="C43" t="s">
        <v>191</v>
      </c>
      <c r="D43" t="str">
        <f>IF(K4=0,"",K4)</f>
        <v/>
      </c>
      <c r="E43" t="s">
        <v>161</v>
      </c>
      <c r="F43" t="str">
        <f>C48&amp;D48&amp;E48</f>
        <v xml:space="preserve"> "tipo": "carrosselDashboardMcmSite"</v>
      </c>
    </row>
    <row r="44" spans="1:6" x14ac:dyDescent="0.25">
      <c r="B44" t="s">
        <v>5</v>
      </c>
      <c r="C44" t="s">
        <v>195</v>
      </c>
      <c r="E44" t="s">
        <v>161</v>
      </c>
      <c r="F44" t="str">
        <f>C49</f>
        <v>},</v>
      </c>
    </row>
    <row r="45" spans="1:6" ht="15" customHeight="1" x14ac:dyDescent="0.25">
      <c r="B45" t="s">
        <v>556</v>
      </c>
      <c r="C45" t="s">
        <v>196</v>
      </c>
      <c r="D45">
        <f>C4</f>
        <v>3</v>
      </c>
      <c r="E45" t="s">
        <v>166</v>
      </c>
    </row>
    <row r="46" spans="1:6" x14ac:dyDescent="0.25">
      <c r="B46" t="s">
        <v>4</v>
      </c>
      <c r="C46" t="s">
        <v>197</v>
      </c>
      <c r="E46" t="s">
        <v>161</v>
      </c>
    </row>
    <row r="47" spans="1:6" x14ac:dyDescent="0.25">
      <c r="B47" t="s">
        <v>626</v>
      </c>
      <c r="C47" t="s">
        <v>198</v>
      </c>
      <c r="E47" t="s">
        <v>161</v>
      </c>
    </row>
    <row r="48" spans="1:6" x14ac:dyDescent="0.25">
      <c r="B48" t="s">
        <v>627</v>
      </c>
      <c r="C48" t="s">
        <v>199</v>
      </c>
      <c r="D48" t="s">
        <v>786</v>
      </c>
      <c r="E48" t="s">
        <v>201</v>
      </c>
    </row>
    <row r="49" spans="3:3" x14ac:dyDescent="0.25">
      <c r="C49" t="s">
        <v>202</v>
      </c>
    </row>
  </sheetData>
  <sortState xmlns:xlrd2="http://schemas.microsoft.com/office/spreadsheetml/2017/richdata2" ref="A8:M25">
    <sortCondition ref="M7:M25"/>
  </sortState>
  <mergeCells count="1">
    <mergeCell ref="A39:A40"/>
  </mergeCells>
  <hyperlinks>
    <hyperlink ref="D36" r:id="rId1" display="https://conteudo.skeelo.com/minhaclaro?utm_source=minhaclaro&amp;utm_medium=banner_desktop&amp;utm_campaign=admiravelmundonovo" xr:uid="{FEFE990D-3FF6-4EB1-A993-4629E0BF3CE2}"/>
  </hyperlinks>
  <pageMargins left="0.511811024" right="0.511811024" top="0.78740157499999996" bottom="0.78740157499999996" header="0.31496062000000002" footer="0.31496062000000002"/>
  <pageSetup paperSize="9" orientation="portrait" horizontalDpi="300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BANNERS_HOME">
                <anchor moveWithCells="1" sizeWithCells="1">
                  <from>
                    <xdr:col>0</xdr:col>
                    <xdr:colOff>1257300</xdr:colOff>
                    <xdr:row>1</xdr:row>
                    <xdr:rowOff>171450</xdr:rowOff>
                  </from>
                  <to>
                    <xdr:col>1</xdr:col>
                    <xdr:colOff>771525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CE9BB-F0B5-454D-84C7-539D3D57A2BD}">
  <sheetPr codeName="Planilha14"/>
  <dimension ref="A8:AA37"/>
  <sheetViews>
    <sheetView topLeftCell="B10" workbookViewId="0">
      <selection activeCell="G13" sqref="G13"/>
    </sheetView>
  </sheetViews>
  <sheetFormatPr defaultRowHeight="15" x14ac:dyDescent="0.25"/>
  <cols>
    <col min="2" max="2" width="24" customWidth="1"/>
    <col min="3" max="3" width="33.28515625" customWidth="1"/>
    <col min="4" max="4" width="27" customWidth="1"/>
    <col min="5" max="5" width="7" customWidth="1"/>
    <col min="6" max="6" width="4.7109375" customWidth="1"/>
    <col min="7" max="7" width="7.7109375" customWidth="1"/>
    <col min="8" max="8" width="10.28515625" customWidth="1"/>
    <col min="24" max="24" width="39.42578125" customWidth="1"/>
    <col min="26" max="26" width="37.85546875" customWidth="1"/>
  </cols>
  <sheetData>
    <row r="8" spans="1:27" x14ac:dyDescent="0.25">
      <c r="C8" t="s">
        <v>158</v>
      </c>
      <c r="H8" t="str">
        <f>C8</f>
        <v>{</v>
      </c>
    </row>
    <row r="9" spans="1:27" x14ac:dyDescent="0.25">
      <c r="B9" t="s">
        <v>217</v>
      </c>
      <c r="C9" t="s">
        <v>160</v>
      </c>
      <c r="D9" t="s">
        <v>787</v>
      </c>
      <c r="E9" t="s">
        <v>161</v>
      </c>
      <c r="H9" t="str">
        <f>C9&amp;D9&amp;E9</f>
        <v xml:space="preserve"> "idcampanha":"b027cd34-e2a9-422c-b3a6-68bf355fd199",</v>
      </c>
      <c r="X9" t="s">
        <v>788</v>
      </c>
      <c r="Y9" t="s">
        <v>165</v>
      </c>
      <c r="Z9" t="s">
        <v>789</v>
      </c>
      <c r="AA9" t="s">
        <v>790</v>
      </c>
    </row>
    <row r="10" spans="1:27" x14ac:dyDescent="0.25">
      <c r="B10" t="s">
        <v>218</v>
      </c>
      <c r="C10" t="s">
        <v>164</v>
      </c>
      <c r="D10" t="s">
        <v>165</v>
      </c>
      <c r="E10" t="s">
        <v>166</v>
      </c>
      <c r="H10" t="str">
        <f>C10&amp;D10&amp;E10</f>
        <v xml:space="preserve"> "ativo":true,</v>
      </c>
      <c r="X10" t="s">
        <v>791</v>
      </c>
      <c r="Y10" t="s">
        <v>165</v>
      </c>
      <c r="Z10" t="s">
        <v>792</v>
      </c>
      <c r="AA10" t="s">
        <v>793</v>
      </c>
    </row>
    <row r="11" spans="1:27" x14ac:dyDescent="0.25">
      <c r="B11" t="s">
        <v>6</v>
      </c>
      <c r="C11" t="s">
        <v>168</v>
      </c>
      <c r="D11" t="s">
        <v>794</v>
      </c>
      <c r="E11" t="s">
        <v>161</v>
      </c>
      <c r="H11" t="str">
        <f>C11&amp;D11&amp;E11</f>
        <v xml:space="preserve"> "codCampanha":"OF_MVL_RENT_23_02_2023_LG_V1",</v>
      </c>
      <c r="X11" t="s">
        <v>795</v>
      </c>
      <c r="Y11" t="s">
        <v>165</v>
      </c>
      <c r="Z11" t="s">
        <v>796</v>
      </c>
      <c r="AA11" t="s">
        <v>797</v>
      </c>
    </row>
    <row r="12" spans="1:27" x14ac:dyDescent="0.25">
      <c r="C12" t="s">
        <v>782</v>
      </c>
      <c r="E12" t="s">
        <v>161</v>
      </c>
      <c r="H12" t="str">
        <f>C12&amp;E12</f>
        <v xml:space="preserve"> "defaultMetaData": "",</v>
      </c>
      <c r="X12" t="s">
        <v>798</v>
      </c>
      <c r="Y12" t="s">
        <v>165</v>
      </c>
      <c r="Z12" t="s">
        <v>799</v>
      </c>
      <c r="AA12" t="s">
        <v>800</v>
      </c>
    </row>
    <row r="13" spans="1:27" ht="15" customHeight="1" x14ac:dyDescent="0.25">
      <c r="C13" t="s">
        <v>185</v>
      </c>
      <c r="H13" t="str">
        <f>C13&amp;C14&amp;D14&amp;E14&amp;C15</f>
        <v xml:space="preserve"> "defaultUrlRedirect": "{ \"default\": \"http://bit.ly/3K6HvaZ\"}",</v>
      </c>
    </row>
    <row r="14" spans="1:27" ht="15.75" customHeight="1" x14ac:dyDescent="0.25">
      <c r="A14" s="4" t="s">
        <v>216</v>
      </c>
      <c r="B14" s="4" t="s">
        <v>622</v>
      </c>
      <c r="C14" t="s">
        <v>186</v>
      </c>
      <c r="D14" t="s">
        <v>801</v>
      </c>
      <c r="E14" t="s">
        <v>183</v>
      </c>
      <c r="H14" t="str">
        <f>C20&amp;D20&amp;E20</f>
        <v xml:space="preserve"> "descricao": "banner_area_logada",</v>
      </c>
      <c r="X14" t="s">
        <v>795</v>
      </c>
      <c r="Y14" t="s">
        <v>165</v>
      </c>
      <c r="Z14" t="s">
        <v>796</v>
      </c>
      <c r="AA14" t="s">
        <v>790</v>
      </c>
    </row>
    <row r="15" spans="1:27" x14ac:dyDescent="0.25">
      <c r="C15" t="s">
        <v>184</v>
      </c>
      <c r="H15" t="str">
        <f>C21&amp;D21&amp;E21</f>
        <v xml:space="preserve"> "segmento":"",</v>
      </c>
      <c r="X15" t="s">
        <v>798</v>
      </c>
      <c r="Y15" t="s">
        <v>165</v>
      </c>
      <c r="Z15" t="s">
        <v>799</v>
      </c>
      <c r="AA15" t="s">
        <v>793</v>
      </c>
    </row>
    <row r="16" spans="1:27" x14ac:dyDescent="0.25">
      <c r="C16" t="s">
        <v>783</v>
      </c>
      <c r="H16" t="str">
        <f>C22&amp;D22&amp;E22</f>
        <v xml:space="preserve"> "nome": "",</v>
      </c>
      <c r="X16" t="s">
        <v>788</v>
      </c>
      <c r="Y16" t="s">
        <v>165</v>
      </c>
      <c r="Z16" t="s">
        <v>789</v>
      </c>
      <c r="AA16" t="s">
        <v>797</v>
      </c>
    </row>
    <row r="17" spans="1:27" ht="15.75" customHeight="1" x14ac:dyDescent="0.25">
      <c r="A17" s="73" t="s">
        <v>624</v>
      </c>
      <c r="B17" s="4" t="s">
        <v>622</v>
      </c>
      <c r="C17" t="s">
        <v>802</v>
      </c>
      <c r="D17" t="s">
        <v>803</v>
      </c>
      <c r="E17" t="s">
        <v>163</v>
      </c>
      <c r="H17" t="str">
        <f>C16&amp;C17&amp;D17&amp;E17&amp;C18&amp;D18&amp;E18&amp;C19</f>
        <v>"pathImagemS3": "{ \"default\": \"carrosselpj/352_100RCKT_ap_claro_empresas_banner_rentabilizacao_movel_incremento_360x628_v4.jpg\", \"default_mobile\": \"carrosselpj/352_100RCKT_ap_claro_empresas_banner_rentabilizacao_movel_incremento_360x628_v4.jpg\"}",</v>
      </c>
      <c r="X17" t="s">
        <v>791</v>
      </c>
      <c r="Y17" t="s">
        <v>165</v>
      </c>
      <c r="Z17" t="s">
        <v>792</v>
      </c>
      <c r="AA17" t="s">
        <v>800</v>
      </c>
    </row>
    <row r="18" spans="1:27" ht="15" customHeight="1" x14ac:dyDescent="0.25">
      <c r="A18" s="73"/>
      <c r="B18" s="4" t="s">
        <v>784</v>
      </c>
      <c r="C18" t="s">
        <v>804</v>
      </c>
      <c r="D18" t="s">
        <v>803</v>
      </c>
      <c r="E18" t="s">
        <v>183</v>
      </c>
      <c r="H18" t="str">
        <f t="shared" ref="H18:H23" si="0">C23&amp;D23&amp;E23</f>
        <v xml:space="preserve"> "prioridade":1,</v>
      </c>
    </row>
    <row r="19" spans="1:27" x14ac:dyDescent="0.25">
      <c r="C19" t="s">
        <v>184</v>
      </c>
      <c r="H19" t="str">
        <f t="shared" si="0"/>
        <v xml:space="preserve"> "textoPrincipal": "",</v>
      </c>
    </row>
    <row r="20" spans="1:27" x14ac:dyDescent="0.25">
      <c r="B20" t="s">
        <v>223</v>
      </c>
      <c r="C20" t="s">
        <v>189</v>
      </c>
      <c r="D20" t="s">
        <v>805</v>
      </c>
      <c r="E20" t="s">
        <v>161</v>
      </c>
      <c r="H20" t="str">
        <f t="shared" si="0"/>
        <v xml:space="preserve"> "textoSecundario": "",</v>
      </c>
      <c r="Y20" t="s">
        <v>165</v>
      </c>
      <c r="Z20" t="s">
        <v>794</v>
      </c>
      <c r="AA20" t="s">
        <v>787</v>
      </c>
    </row>
    <row r="21" spans="1:27" x14ac:dyDescent="0.25">
      <c r="B21" t="s">
        <v>228</v>
      </c>
      <c r="C21" t="s">
        <v>191</v>
      </c>
      <c r="E21" t="s">
        <v>161</v>
      </c>
      <c r="H21" t="str">
        <f t="shared" si="0"/>
        <v xml:space="preserve"> "tipo": "carrosselpj",</v>
      </c>
    </row>
    <row r="22" spans="1:27" x14ac:dyDescent="0.25">
      <c r="B22" t="s">
        <v>5</v>
      </c>
      <c r="C22" t="s">
        <v>195</v>
      </c>
      <c r="E22" t="s">
        <v>161</v>
      </c>
      <c r="H22" t="str">
        <f t="shared" si="0"/>
        <v xml:space="preserve"> "dtVigenciaIni": "",</v>
      </c>
    </row>
    <row r="23" spans="1:27" ht="15" customHeight="1" x14ac:dyDescent="0.25">
      <c r="B23" t="s">
        <v>556</v>
      </c>
      <c r="C23" t="s">
        <v>196</v>
      </c>
      <c r="D23">
        <v>1</v>
      </c>
      <c r="E23" t="s">
        <v>166</v>
      </c>
      <c r="H23" t="str">
        <f t="shared" si="0"/>
        <v xml:space="preserve"> "dtVigenciaFim": ""</v>
      </c>
    </row>
    <row r="24" spans="1:27" x14ac:dyDescent="0.25">
      <c r="B24" t="s">
        <v>4</v>
      </c>
      <c r="C24" t="s">
        <v>197</v>
      </c>
      <c r="E24" t="s">
        <v>161</v>
      </c>
      <c r="H24" t="str">
        <f>C29</f>
        <v>}</v>
      </c>
    </row>
    <row r="25" spans="1:27" x14ac:dyDescent="0.25">
      <c r="B25" t="s">
        <v>626</v>
      </c>
      <c r="C25" t="s">
        <v>198</v>
      </c>
      <c r="E25" t="s">
        <v>161</v>
      </c>
    </row>
    <row r="26" spans="1:27" x14ac:dyDescent="0.25">
      <c r="B26" t="s">
        <v>627</v>
      </c>
      <c r="C26" t="s">
        <v>199</v>
      </c>
      <c r="D26" t="s">
        <v>806</v>
      </c>
      <c r="E26" t="s">
        <v>161</v>
      </c>
    </row>
    <row r="27" spans="1:27" x14ac:dyDescent="0.25">
      <c r="C27" t="s">
        <v>396</v>
      </c>
      <c r="E27" t="s">
        <v>161</v>
      </c>
    </row>
    <row r="28" spans="1:27" x14ac:dyDescent="0.25">
      <c r="C28" t="s">
        <v>397</v>
      </c>
      <c r="E28" t="s">
        <v>201</v>
      </c>
    </row>
    <row r="29" spans="1:27" x14ac:dyDescent="0.25">
      <c r="C29" t="s">
        <v>440</v>
      </c>
      <c r="X29" t="s">
        <v>807</v>
      </c>
    </row>
    <row r="30" spans="1:27" x14ac:dyDescent="0.25">
      <c r="X30" t="s">
        <v>808</v>
      </c>
    </row>
    <row r="31" spans="1:27" x14ac:dyDescent="0.25">
      <c r="X31" t="s">
        <v>809</v>
      </c>
    </row>
    <row r="32" spans="1:27" x14ac:dyDescent="0.25">
      <c r="X32" t="s">
        <v>810</v>
      </c>
    </row>
    <row r="33" spans="24:24" x14ac:dyDescent="0.25">
      <c r="X33" t="s">
        <v>811</v>
      </c>
    </row>
    <row r="34" spans="24:24" x14ac:dyDescent="0.25">
      <c r="X34" t="s">
        <v>812</v>
      </c>
    </row>
    <row r="36" spans="24:24" x14ac:dyDescent="0.25">
      <c r="X36" t="s">
        <v>803</v>
      </c>
    </row>
    <row r="37" spans="24:24" x14ac:dyDescent="0.25">
      <c r="X37" t="s">
        <v>803</v>
      </c>
    </row>
  </sheetData>
  <mergeCells count="1">
    <mergeCell ref="A17:A18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32E79-3F33-416B-85B8-F7C6384D01AC}">
  <sheetPr codeName="Planilha12"/>
  <dimension ref="A1:H98"/>
  <sheetViews>
    <sheetView workbookViewId="0">
      <selection activeCell="H1" sqref="H1:H14"/>
    </sheetView>
  </sheetViews>
  <sheetFormatPr defaultRowHeight="15" x14ac:dyDescent="0.25"/>
  <cols>
    <col min="2" max="2" width="24" customWidth="1"/>
    <col min="3" max="3" width="27.28515625" customWidth="1"/>
    <col min="4" max="4" width="61.42578125" customWidth="1"/>
    <col min="5" max="5" width="7" customWidth="1"/>
    <col min="6" max="6" width="4.7109375" customWidth="1"/>
    <col min="7" max="7" width="4.28515625" customWidth="1"/>
  </cols>
  <sheetData>
    <row r="1" spans="1:8" x14ac:dyDescent="0.25">
      <c r="C1" t="s">
        <v>158</v>
      </c>
      <c r="H1" t="str">
        <f>C1</f>
        <v>{</v>
      </c>
    </row>
    <row r="2" spans="1:8" x14ac:dyDescent="0.25">
      <c r="B2" t="s">
        <v>217</v>
      </c>
      <c r="C2" t="s">
        <v>160</v>
      </c>
      <c r="D2" t="s">
        <v>1343</v>
      </c>
      <c r="E2" t="s">
        <v>161</v>
      </c>
      <c r="H2" t="str">
        <f>C2&amp;D2&amp;E2</f>
        <v xml:space="preserve"> "idcampanha":"e7e7e990-dfe0-43d0-a6e5-d16c7d66e921",</v>
      </c>
    </row>
    <row r="3" spans="1:8" x14ac:dyDescent="0.25">
      <c r="B3" t="s">
        <v>218</v>
      </c>
      <c r="C3" t="s">
        <v>164</v>
      </c>
      <c r="D3" t="s">
        <v>165</v>
      </c>
      <c r="E3" t="s">
        <v>166</v>
      </c>
      <c r="H3" t="str">
        <f>C3&amp;D3&amp;E3</f>
        <v xml:space="preserve"> "ativo":true,</v>
      </c>
    </row>
    <row r="4" spans="1:8" x14ac:dyDescent="0.25">
      <c r="B4" t="s">
        <v>6</v>
      </c>
      <c r="C4" t="s">
        <v>168</v>
      </c>
      <c r="D4" s="1" t="s">
        <v>1342</v>
      </c>
      <c r="E4" t="s">
        <v>161</v>
      </c>
      <c r="H4" t="str">
        <f>C4&amp;D4&amp;E4</f>
        <v xml:space="preserve"> "codCampanha":"SESSAOPLANOCONTROLE",</v>
      </c>
    </row>
    <row r="5" spans="1:8" x14ac:dyDescent="0.25">
      <c r="C5" t="s">
        <v>1345</v>
      </c>
      <c r="D5" t="s">
        <v>1347</v>
      </c>
      <c r="E5" t="s">
        <v>163</v>
      </c>
      <c r="H5" t="str">
        <f>C5&amp;D5&amp;E5&amp;C6&amp;D6&amp;E6&amp;C7&amp;D7&amp;E7&amp;C8&amp;D8&amp;E8&amp;C9&amp;D9&amp;E9&amp;C10&amp;D10&amp;E10&amp;C11&amp;D11&amp;E11&amp;C12&amp;D12&amp;E12&amp;C13&amp;D13&amp;E13&amp;C14</f>
        <v xml:space="preserve"> "defaultMetaData": "{  \"TAG\": \"mudeseuplano:clientecontrole\",  \"ICON_BEN1\": \"celular\", \"TEXT_BEN1\": \"Apps para navegar ilimitado\",  \"ICON_BEN2\": \"claro\", \"TEXT_BEN2\": \"Conteúdos exclusivos\",  \"ICON_BEN3\": \"\", \"TEXT_BEN3\": \"\",  \"ICON_BEN4\": \"\", \"TEXT_BEN4\": \"\"}",</v>
      </c>
    </row>
    <row r="6" spans="1:8" ht="15" customHeight="1" x14ac:dyDescent="0.25">
      <c r="A6" s="73" t="s">
        <v>612</v>
      </c>
      <c r="B6" s="4" t="s">
        <v>815</v>
      </c>
      <c r="C6" t="s">
        <v>816</v>
      </c>
      <c r="D6" s="2" t="s">
        <v>655</v>
      </c>
      <c r="E6" t="s">
        <v>163</v>
      </c>
      <c r="H6" t="str">
        <f>C15&amp;C16&amp;D16&amp;E16&amp;C17</f>
        <v xml:space="preserve"> "defaultUrlRedirect": "{ \"default\": \"https://planoscelular.claro.com.br/claro/pt/offer-plan/externalUri?offerPlanId=22382&amp;coupon=51c9f3bbefda4a4fa7be62f9a041b38a&amp;msisdn=msisdn&amp;targetCampaign=migra&amp;paymentMethod=debitcard&amp;loyalty=true&amp;invoiceType=DIGITAL&amp;processType=MIGRATE&amp;utm_source=minhaclaro-deckvendas_web&amp;utm_medium=plppos-clientecontrole&amp;utm_campaign=gatilhomudeseuplano\"}",</v>
      </c>
    </row>
    <row r="7" spans="1:8" x14ac:dyDescent="0.25">
      <c r="A7" s="73"/>
      <c r="B7" s="4" t="s">
        <v>817</v>
      </c>
      <c r="C7" t="s">
        <v>818</v>
      </c>
      <c r="D7" s="2" t="s">
        <v>361</v>
      </c>
      <c r="E7" t="s">
        <v>163</v>
      </c>
      <c r="H7" t="str">
        <f t="shared" ref="H7:H13" si="0">C18&amp;D18&amp;E18</f>
        <v xml:space="preserve"> "descricao": "Planos para quem quer navegar e falar muito, sabendo exatamente quanto vai pagar.",</v>
      </c>
    </row>
    <row r="8" spans="1:8" x14ac:dyDescent="0.25">
      <c r="A8" s="73"/>
      <c r="B8" s="4" t="s">
        <v>819</v>
      </c>
      <c r="C8" t="s">
        <v>820</v>
      </c>
      <c r="D8" s="2" t="s">
        <v>833</v>
      </c>
      <c r="E8" t="s">
        <v>163</v>
      </c>
      <c r="H8" t="str">
        <f t="shared" si="0"/>
        <v xml:space="preserve"> "segmento":"CONTROLE,CONTROLE_FACIL",</v>
      </c>
    </row>
    <row r="9" spans="1:8" x14ac:dyDescent="0.25">
      <c r="A9" s="73"/>
      <c r="B9" s="4" t="s">
        <v>822</v>
      </c>
      <c r="C9" t="s">
        <v>823</v>
      </c>
      <c r="D9" s="6" t="s">
        <v>836</v>
      </c>
      <c r="E9" t="s">
        <v>163</v>
      </c>
      <c r="H9" t="str">
        <f t="shared" si="0"/>
        <v xml:space="preserve"> "nome": "MUDE PARA PÓS",</v>
      </c>
    </row>
    <row r="10" spans="1:8" x14ac:dyDescent="0.25">
      <c r="A10" s="73"/>
      <c r="B10" s="4" t="s">
        <v>825</v>
      </c>
      <c r="C10" t="s">
        <v>826</v>
      </c>
      <c r="D10" s="2"/>
      <c r="E10" t="s">
        <v>163</v>
      </c>
      <c r="H10" t="str">
        <f t="shared" si="0"/>
        <v xml:space="preserve"> "prioridade":1,</v>
      </c>
    </row>
    <row r="11" spans="1:8" x14ac:dyDescent="0.25">
      <c r="A11" s="73"/>
      <c r="B11" s="4" t="s">
        <v>828</v>
      </c>
      <c r="C11" t="s">
        <v>829</v>
      </c>
      <c r="E11" t="s">
        <v>163</v>
      </c>
      <c r="H11" t="str">
        <f t="shared" si="0"/>
        <v xml:space="preserve"> "textoPrincipal": "Mais vantagens para &lt;span class='redText'&gt;você!&lt;/span&gt;",</v>
      </c>
    </row>
    <row r="12" spans="1:8" x14ac:dyDescent="0.25">
      <c r="A12" s="73"/>
      <c r="B12" s="4" t="s">
        <v>831</v>
      </c>
      <c r="C12" t="s">
        <v>832</v>
      </c>
      <c r="D12" s="2"/>
      <c r="E12" t="s">
        <v>163</v>
      </c>
      <c r="H12" t="str">
        <f t="shared" si="0"/>
        <v xml:space="preserve"> "textoSecundario": "Mude para Pós",</v>
      </c>
    </row>
    <row r="13" spans="1:8" x14ac:dyDescent="0.25">
      <c r="A13" s="73"/>
      <c r="B13" s="4" t="s">
        <v>834</v>
      </c>
      <c r="C13" t="s">
        <v>835</v>
      </c>
      <c r="D13" s="2"/>
      <c r="E13" t="s">
        <v>183</v>
      </c>
      <c r="H13" t="str">
        <f t="shared" si="0"/>
        <v xml:space="preserve"> "tipo": "sales_plans"</v>
      </c>
    </row>
    <row r="14" spans="1:8" x14ac:dyDescent="0.25">
      <c r="C14" t="s">
        <v>184</v>
      </c>
      <c r="H14" t="str">
        <f>C25</f>
        <v>}</v>
      </c>
    </row>
    <row r="15" spans="1:8" x14ac:dyDescent="0.25">
      <c r="C15" t="s">
        <v>185</v>
      </c>
    </row>
    <row r="16" spans="1:8" ht="22.5" x14ac:dyDescent="0.25">
      <c r="A16" s="3" t="s">
        <v>216</v>
      </c>
      <c r="B16" s="4" t="s">
        <v>622</v>
      </c>
      <c r="C16" t="s">
        <v>186</v>
      </c>
      <c r="D16" s="5" t="s">
        <v>1349</v>
      </c>
      <c r="E16" t="s">
        <v>183</v>
      </c>
    </row>
    <row r="17" spans="2:5" x14ac:dyDescent="0.25">
      <c r="C17" t="s">
        <v>184</v>
      </c>
    </row>
    <row r="18" spans="2:5" x14ac:dyDescent="0.25">
      <c r="B18" t="s">
        <v>223</v>
      </c>
      <c r="C18" t="s">
        <v>189</v>
      </c>
      <c r="D18" t="s">
        <v>838</v>
      </c>
      <c r="E18" t="s">
        <v>161</v>
      </c>
    </row>
    <row r="19" spans="2:5" x14ac:dyDescent="0.25">
      <c r="B19" t="s">
        <v>228</v>
      </c>
      <c r="C19" t="s">
        <v>191</v>
      </c>
      <c r="D19" t="s">
        <v>193</v>
      </c>
      <c r="E19" t="s">
        <v>161</v>
      </c>
    </row>
    <row r="20" spans="2:5" x14ac:dyDescent="0.25">
      <c r="B20" t="s">
        <v>839</v>
      </c>
      <c r="C20" t="s">
        <v>195</v>
      </c>
      <c r="D20" t="s">
        <v>1344</v>
      </c>
      <c r="E20" t="s">
        <v>161</v>
      </c>
    </row>
    <row r="21" spans="2:5" x14ac:dyDescent="0.25">
      <c r="B21" t="s">
        <v>556</v>
      </c>
      <c r="C21" t="s">
        <v>196</v>
      </c>
      <c r="D21">
        <v>1</v>
      </c>
      <c r="E21" t="s">
        <v>166</v>
      </c>
    </row>
    <row r="22" spans="2:5" x14ac:dyDescent="0.25">
      <c r="B22" t="s">
        <v>841</v>
      </c>
      <c r="C22" t="s">
        <v>197</v>
      </c>
      <c r="D22" t="s">
        <v>1341</v>
      </c>
      <c r="E22" t="s">
        <v>161</v>
      </c>
    </row>
    <row r="23" spans="2:5" x14ac:dyDescent="0.25">
      <c r="B23" t="s">
        <v>842</v>
      </c>
      <c r="C23" t="s">
        <v>198</v>
      </c>
      <c r="D23" t="s">
        <v>1351</v>
      </c>
      <c r="E23" t="s">
        <v>161</v>
      </c>
    </row>
    <row r="24" spans="2:5" x14ac:dyDescent="0.25">
      <c r="B24" t="s">
        <v>627</v>
      </c>
      <c r="C24" t="s">
        <v>199</v>
      </c>
      <c r="D24" t="s">
        <v>844</v>
      </c>
      <c r="E24" t="s">
        <v>201</v>
      </c>
    </row>
    <row r="25" spans="2:5" x14ac:dyDescent="0.25">
      <c r="C25" t="s">
        <v>440</v>
      </c>
    </row>
    <row r="28" spans="2:5" x14ac:dyDescent="0.25">
      <c r="C28" s="75" t="s">
        <v>153</v>
      </c>
      <c r="D28" t="s">
        <v>1334</v>
      </c>
    </row>
    <row r="29" spans="2:5" x14ac:dyDescent="0.25">
      <c r="C29" s="75"/>
      <c r="D29" t="s">
        <v>165</v>
      </c>
    </row>
    <row r="30" spans="2:5" x14ac:dyDescent="0.25">
      <c r="C30" s="75"/>
      <c r="D30" s="1" t="s">
        <v>1335</v>
      </c>
    </row>
    <row r="31" spans="2:5" x14ac:dyDescent="0.25">
      <c r="C31" s="75"/>
      <c r="D31" t="s">
        <v>1346</v>
      </c>
    </row>
    <row r="32" spans="2:5" x14ac:dyDescent="0.25">
      <c r="C32" s="75"/>
      <c r="D32" s="2" t="s">
        <v>1336</v>
      </c>
    </row>
    <row r="33" spans="3:4" x14ac:dyDescent="0.25">
      <c r="C33" s="75"/>
      <c r="D33" s="2" t="s">
        <v>1337</v>
      </c>
    </row>
    <row r="34" spans="3:4" x14ac:dyDescent="0.25">
      <c r="C34" s="75"/>
      <c r="D34" s="2" t="s">
        <v>1338</v>
      </c>
    </row>
    <row r="35" spans="3:4" x14ac:dyDescent="0.25">
      <c r="C35" s="75"/>
      <c r="D35" s="6" t="s">
        <v>1339</v>
      </c>
    </row>
    <row r="36" spans="3:4" x14ac:dyDescent="0.25">
      <c r="C36" s="75"/>
      <c r="D36" s="2"/>
    </row>
    <row r="37" spans="3:4" x14ac:dyDescent="0.25">
      <c r="C37" s="75"/>
    </row>
    <row r="38" spans="3:4" x14ac:dyDescent="0.25">
      <c r="C38" s="75"/>
      <c r="D38" s="2"/>
    </row>
    <row r="39" spans="3:4" x14ac:dyDescent="0.25">
      <c r="C39" s="75"/>
      <c r="D39" s="2"/>
    </row>
    <row r="40" spans="3:4" x14ac:dyDescent="0.25">
      <c r="C40" s="75"/>
    </row>
    <row r="41" spans="3:4" x14ac:dyDescent="0.25">
      <c r="C41" s="75"/>
    </row>
    <row r="42" spans="3:4" x14ac:dyDescent="0.25">
      <c r="C42" s="75"/>
      <c r="D42" s="66" t="s">
        <v>1350</v>
      </c>
    </row>
    <row r="43" spans="3:4" x14ac:dyDescent="0.25">
      <c r="C43" s="75"/>
    </row>
    <row r="44" spans="3:4" x14ac:dyDescent="0.25">
      <c r="C44" s="75"/>
      <c r="D44" t="s">
        <v>838</v>
      </c>
    </row>
    <row r="45" spans="3:4" x14ac:dyDescent="0.25">
      <c r="C45" s="75"/>
      <c r="D45" t="s">
        <v>192</v>
      </c>
    </row>
    <row r="46" spans="3:4" x14ac:dyDescent="0.25">
      <c r="C46" s="75"/>
      <c r="D46" t="s">
        <v>1340</v>
      </c>
    </row>
    <row r="47" spans="3:4" x14ac:dyDescent="0.25">
      <c r="C47" s="75"/>
      <c r="D47">
        <v>1</v>
      </c>
    </row>
    <row r="48" spans="3:4" x14ac:dyDescent="0.25">
      <c r="C48" s="75"/>
      <c r="D48" t="s">
        <v>1341</v>
      </c>
    </row>
    <row r="49" spans="3:4" x14ac:dyDescent="0.25">
      <c r="C49" s="75"/>
      <c r="D49" t="s">
        <v>1352</v>
      </c>
    </row>
    <row r="50" spans="3:4" x14ac:dyDescent="0.25">
      <c r="C50" s="75"/>
      <c r="D50" t="s">
        <v>844</v>
      </c>
    </row>
    <row r="52" spans="3:4" x14ac:dyDescent="0.25">
      <c r="C52" s="75" t="s">
        <v>254</v>
      </c>
      <c r="D52" t="s">
        <v>1343</v>
      </c>
    </row>
    <row r="53" spans="3:4" x14ac:dyDescent="0.25">
      <c r="C53" s="75"/>
      <c r="D53" t="s">
        <v>165</v>
      </c>
    </row>
    <row r="54" spans="3:4" x14ac:dyDescent="0.25">
      <c r="C54" s="75"/>
      <c r="D54" s="1" t="s">
        <v>1342</v>
      </c>
    </row>
    <row r="55" spans="3:4" x14ac:dyDescent="0.25">
      <c r="C55" s="75"/>
      <c r="D55" t="s">
        <v>1347</v>
      </c>
    </row>
    <row r="56" spans="3:4" x14ac:dyDescent="0.25">
      <c r="C56" s="75"/>
      <c r="D56" s="2" t="s">
        <v>655</v>
      </c>
    </row>
    <row r="57" spans="3:4" x14ac:dyDescent="0.25">
      <c r="C57" s="75"/>
      <c r="D57" s="2" t="s">
        <v>361</v>
      </c>
    </row>
    <row r="58" spans="3:4" x14ac:dyDescent="0.25">
      <c r="C58" s="75"/>
      <c r="D58" s="2" t="s">
        <v>833</v>
      </c>
    </row>
    <row r="59" spans="3:4" x14ac:dyDescent="0.25">
      <c r="C59" s="75"/>
      <c r="D59" s="2" t="s">
        <v>836</v>
      </c>
    </row>
    <row r="60" spans="3:4" x14ac:dyDescent="0.25">
      <c r="C60" s="75"/>
      <c r="D60" s="2"/>
    </row>
    <row r="61" spans="3:4" x14ac:dyDescent="0.25">
      <c r="C61" s="75"/>
    </row>
    <row r="62" spans="3:4" x14ac:dyDescent="0.25">
      <c r="C62" s="75"/>
    </row>
    <row r="63" spans="3:4" x14ac:dyDescent="0.25">
      <c r="C63" s="75"/>
    </row>
    <row r="64" spans="3:4" x14ac:dyDescent="0.25">
      <c r="C64" s="75"/>
    </row>
    <row r="65" spans="3:4" x14ac:dyDescent="0.25">
      <c r="C65" s="75"/>
    </row>
    <row r="66" spans="3:4" x14ac:dyDescent="0.25">
      <c r="C66" s="75"/>
      <c r="D66" s="66" t="s">
        <v>1349</v>
      </c>
    </row>
    <row r="67" spans="3:4" x14ac:dyDescent="0.25">
      <c r="C67" s="75"/>
    </row>
    <row r="68" spans="3:4" x14ac:dyDescent="0.25">
      <c r="C68" s="75"/>
      <c r="D68" t="s">
        <v>838</v>
      </c>
    </row>
    <row r="69" spans="3:4" x14ac:dyDescent="0.25">
      <c r="C69" s="75"/>
      <c r="D69" t="s">
        <v>193</v>
      </c>
    </row>
    <row r="70" spans="3:4" x14ac:dyDescent="0.25">
      <c r="C70" s="75"/>
      <c r="D70" t="s">
        <v>1344</v>
      </c>
    </row>
    <row r="71" spans="3:4" x14ac:dyDescent="0.25">
      <c r="C71" s="75"/>
      <c r="D71">
        <v>1</v>
      </c>
    </row>
    <row r="72" spans="3:4" x14ac:dyDescent="0.25">
      <c r="C72" s="75"/>
      <c r="D72" t="s">
        <v>1341</v>
      </c>
    </row>
    <row r="73" spans="3:4" x14ac:dyDescent="0.25">
      <c r="C73" s="75"/>
      <c r="D73" t="s">
        <v>1351</v>
      </c>
    </row>
    <row r="74" spans="3:4" x14ac:dyDescent="0.25">
      <c r="C74" s="75"/>
      <c r="D74" t="s">
        <v>844</v>
      </c>
    </row>
    <row r="76" spans="3:4" x14ac:dyDescent="0.25">
      <c r="C76" s="75" t="s">
        <v>1333</v>
      </c>
      <c r="D76" t="s">
        <v>813</v>
      </c>
    </row>
    <row r="77" spans="3:4" x14ac:dyDescent="0.25">
      <c r="C77" s="75"/>
      <c r="D77" t="s">
        <v>165</v>
      </c>
    </row>
    <row r="78" spans="3:4" x14ac:dyDescent="0.25">
      <c r="C78" s="75"/>
      <c r="D78" s="1" t="s">
        <v>814</v>
      </c>
    </row>
    <row r="79" spans="3:4" x14ac:dyDescent="0.25">
      <c r="C79" s="75"/>
      <c r="D79" t="s">
        <v>1348</v>
      </c>
    </row>
    <row r="80" spans="3:4" x14ac:dyDescent="0.25">
      <c r="C80" s="75"/>
      <c r="D80" s="2" t="s">
        <v>655</v>
      </c>
    </row>
    <row r="81" spans="3:4" x14ac:dyDescent="0.25">
      <c r="C81" s="75"/>
      <c r="D81" s="2" t="s">
        <v>361</v>
      </c>
    </row>
    <row r="82" spans="3:4" x14ac:dyDescent="0.25">
      <c r="C82" s="75"/>
      <c r="D82" s="2" t="s">
        <v>821</v>
      </c>
    </row>
    <row r="83" spans="3:4" x14ac:dyDescent="0.25">
      <c r="C83" s="75"/>
      <c r="D83" s="6" t="s">
        <v>824</v>
      </c>
    </row>
    <row r="84" spans="3:4" x14ac:dyDescent="0.25">
      <c r="C84" s="75"/>
      <c r="D84" s="2" t="s">
        <v>827</v>
      </c>
    </row>
    <row r="85" spans="3:4" x14ac:dyDescent="0.25">
      <c r="C85" s="75"/>
      <c r="D85" t="s">
        <v>830</v>
      </c>
    </row>
    <row r="86" spans="3:4" x14ac:dyDescent="0.25">
      <c r="C86" s="75"/>
      <c r="D86" s="2" t="s">
        <v>833</v>
      </c>
    </row>
    <row r="87" spans="3:4" x14ac:dyDescent="0.25">
      <c r="C87" s="75"/>
      <c r="D87" s="2" t="s">
        <v>836</v>
      </c>
    </row>
    <row r="88" spans="3:4" x14ac:dyDescent="0.25">
      <c r="C88" s="75"/>
    </row>
    <row r="89" spans="3:4" x14ac:dyDescent="0.25">
      <c r="C89" s="75"/>
    </row>
    <row r="90" spans="3:4" x14ac:dyDescent="0.25">
      <c r="C90" s="75"/>
      <c r="D90" s="5" t="s">
        <v>837</v>
      </c>
    </row>
    <row r="91" spans="3:4" x14ac:dyDescent="0.25">
      <c r="C91" s="75"/>
    </row>
    <row r="92" spans="3:4" x14ac:dyDescent="0.25">
      <c r="C92" s="75"/>
      <c r="D92" t="s">
        <v>838</v>
      </c>
    </row>
    <row r="93" spans="3:4" x14ac:dyDescent="0.25">
      <c r="C93" s="75"/>
      <c r="D93" t="s">
        <v>194</v>
      </c>
    </row>
    <row r="94" spans="3:4" x14ac:dyDescent="0.25">
      <c r="C94" s="75"/>
      <c r="D94" t="s">
        <v>840</v>
      </c>
    </row>
    <row r="95" spans="3:4" x14ac:dyDescent="0.25">
      <c r="C95" s="75"/>
      <c r="D95">
        <v>1</v>
      </c>
    </row>
    <row r="96" spans="3:4" x14ac:dyDescent="0.25">
      <c r="C96" s="75"/>
      <c r="D96" t="s">
        <v>1341</v>
      </c>
    </row>
    <row r="97" spans="3:4" x14ac:dyDescent="0.25">
      <c r="C97" s="75"/>
      <c r="D97" t="s">
        <v>843</v>
      </c>
    </row>
    <row r="98" spans="3:4" x14ac:dyDescent="0.25">
      <c r="C98" s="75"/>
      <c r="D98" t="s">
        <v>844</v>
      </c>
    </row>
  </sheetData>
  <mergeCells count="4">
    <mergeCell ref="A6:A13"/>
    <mergeCell ref="C28:C50"/>
    <mergeCell ref="C52:C74"/>
    <mergeCell ref="C76:C98"/>
  </mergeCells>
  <hyperlinks>
    <hyperlink ref="D16" r:id="rId1" display="https://planoscelular.claro.com.br/claro/pt/c/pospago?q=:recurringPrice-asc:promotionalPaymentMethods:ticket&amp;text=&amp;show=All&amp;utm_source=minhaclaro-deckvendas_web&amp;utm_medium=plppos-clientepos&amp;utm_campaign=gatilhomudeseuplano" xr:uid="{3ADAC4C1-0542-4894-9E81-6DADF66F77F8}"/>
    <hyperlink ref="D90" r:id="rId2" xr:uid="{514E263D-3349-43C3-BFF9-BD9282B0BA21}"/>
    <hyperlink ref="D42" r:id="rId3" display="https://planoscelular.claro.com.br/claro/pt/offer-plan/externalUri?offerPlanId=22285&amp;coupon=b0faa2bc06d9836abf066270adfe25308348858cfe6301c3a36bb6a12eff728b&amp;msisdn=msisdn&amp;targetCampaign=migra&amp;paymentMethod=debitcard&amp;loyalty=true&amp;invoiceType=DIGITAL&amp;processType=MIGRATE&amp;utm_source=minhaclaro-deckvendas_web&amp;utm_medium=plppos-clientepre&amp;utm_campaign=gatilhomudeseuplano" xr:uid="{50493C5D-AF0D-4902-A4A7-FC28D8046AB6}"/>
    <hyperlink ref="D66" r:id="rId4" display="https://planoscelular.claro.com.br/claro/pt/offer-plan/externalUri?offerPlanId=22382&amp;coupon=51c9f3bbefda4a4fa7be62f9a041b38a&amp;msisdn=msisdn&amp;targetCampaign=migra&amp;paymentMethod=debitcard&amp;loyalty=true&amp;invoiceType=DIGITAL&amp;processType=MIGRATE&amp;utm_source=minhaclaro-deckvendas_web&amp;utm_medium=plppos-clientecontrole&amp;utm_campaign=gatilhomudeseuplano" xr:uid="{001C8103-DBB0-40AD-A656-BF05A34FE2F5}"/>
  </hyperlinks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E4667-6D8F-468D-9096-56B4D3F5D912}">
  <sheetPr codeName="Planilha13"/>
  <dimension ref="B1:R22"/>
  <sheetViews>
    <sheetView workbookViewId="0">
      <selection activeCell="Q3" sqref="Q3:Q11"/>
    </sheetView>
  </sheetViews>
  <sheetFormatPr defaultRowHeight="15" x14ac:dyDescent="0.25"/>
  <cols>
    <col min="2" max="2" width="36.42578125" bestFit="1" customWidth="1"/>
    <col min="4" max="4" width="16.7109375" bestFit="1" customWidth="1"/>
    <col min="5" max="5" width="26.7109375" bestFit="1" customWidth="1"/>
    <col min="6" max="6" width="26.85546875" bestFit="1" customWidth="1"/>
    <col min="7" max="12" width="16.85546875" customWidth="1"/>
    <col min="14" max="14" width="10.140625" customWidth="1"/>
    <col min="15" max="15" width="32.85546875" customWidth="1"/>
  </cols>
  <sheetData>
    <row r="1" spans="2:18" x14ac:dyDescent="0.25">
      <c r="O1" s="76" t="s">
        <v>203</v>
      </c>
      <c r="P1" s="76"/>
      <c r="Q1" s="76"/>
      <c r="R1" s="76"/>
    </row>
    <row r="2" spans="2:18" x14ac:dyDescent="0.25">
      <c r="B2" s="17" t="s">
        <v>217</v>
      </c>
      <c r="C2" s="17" t="s">
        <v>218</v>
      </c>
      <c r="D2" s="17" t="s">
        <v>219</v>
      </c>
      <c r="E2" s="17" t="s">
        <v>220</v>
      </c>
      <c r="F2" s="17" t="s">
        <v>228</v>
      </c>
      <c r="G2" s="17" t="s">
        <v>845</v>
      </c>
      <c r="H2" s="17" t="s">
        <v>846</v>
      </c>
      <c r="I2" s="17" t="s">
        <v>847</v>
      </c>
      <c r="J2" s="17" t="s">
        <v>848</v>
      </c>
      <c r="K2" s="17" t="s">
        <v>849</v>
      </c>
      <c r="L2" s="17" t="s">
        <v>850</v>
      </c>
      <c r="O2" s="76" t="s">
        <v>851</v>
      </c>
      <c r="P2" s="76"/>
      <c r="Q2" s="76" t="s">
        <v>852</v>
      </c>
      <c r="R2" s="76"/>
    </row>
    <row r="3" spans="2:18" x14ac:dyDescent="0.25">
      <c r="B3" s="19" t="s">
        <v>853</v>
      </c>
      <c r="C3" t="s">
        <v>165</v>
      </c>
      <c r="D3" t="s">
        <v>854</v>
      </c>
      <c r="E3" t="s">
        <v>855</v>
      </c>
      <c r="F3" t="s">
        <v>193</v>
      </c>
      <c r="G3" t="s">
        <v>856</v>
      </c>
      <c r="H3" t="s">
        <v>858</v>
      </c>
      <c r="I3" t="s">
        <v>857</v>
      </c>
      <c r="J3" t="s">
        <v>859</v>
      </c>
      <c r="K3" t="s">
        <v>860</v>
      </c>
      <c r="L3" t="s">
        <v>861</v>
      </c>
      <c r="O3" t="s">
        <v>158</v>
      </c>
      <c r="Q3" t="str">
        <f>O3</f>
        <v>{</v>
      </c>
    </row>
    <row r="4" spans="2:18" x14ac:dyDescent="0.25">
      <c r="O4" t="s">
        <v>160</v>
      </c>
      <c r="P4" t="s">
        <v>161</v>
      </c>
      <c r="Q4" t="str">
        <f>O4&amp;B3&amp;P4</f>
        <v xml:space="preserve"> "idcampanha":"17e6845a-cf0a-46a9-ab9c-7c8fcc826dd2",</v>
      </c>
    </row>
    <row r="5" spans="2:18" x14ac:dyDescent="0.25">
      <c r="B5" s="17" t="s">
        <v>217</v>
      </c>
      <c r="C5" s="17" t="s">
        <v>218</v>
      </c>
      <c r="D5" s="17" t="s">
        <v>219</v>
      </c>
      <c r="E5" s="17" t="s">
        <v>220</v>
      </c>
      <c r="F5" s="17" t="s">
        <v>228</v>
      </c>
      <c r="G5" s="17" t="s">
        <v>845</v>
      </c>
      <c r="H5" s="17" t="s">
        <v>846</v>
      </c>
      <c r="I5" s="17" t="s">
        <v>847</v>
      </c>
      <c r="J5" s="17" t="s">
        <v>848</v>
      </c>
      <c r="K5" s="17" t="s">
        <v>849</v>
      </c>
      <c r="L5" s="17" t="s">
        <v>850</v>
      </c>
      <c r="O5" t="s">
        <v>164</v>
      </c>
      <c r="P5" t="s">
        <v>166</v>
      </c>
      <c r="Q5" t="str">
        <f>O5&amp;C3&amp;P5</f>
        <v xml:space="preserve"> "ativo":true,</v>
      </c>
    </row>
    <row r="6" spans="2:18" x14ac:dyDescent="0.25">
      <c r="B6" t="s">
        <v>862</v>
      </c>
      <c r="C6" t="s">
        <v>165</v>
      </c>
      <c r="D6" t="s">
        <v>863</v>
      </c>
      <c r="E6" t="s">
        <v>864</v>
      </c>
      <c r="F6" t="s">
        <v>192</v>
      </c>
      <c r="G6" t="s">
        <v>856</v>
      </c>
      <c r="H6" t="s">
        <v>858</v>
      </c>
      <c r="I6" t="s">
        <v>857</v>
      </c>
      <c r="J6" t="s">
        <v>859</v>
      </c>
      <c r="K6" t="s">
        <v>860</v>
      </c>
      <c r="L6" t="s">
        <v>861</v>
      </c>
      <c r="O6" t="s">
        <v>168</v>
      </c>
      <c r="P6" t="s">
        <v>161</v>
      </c>
      <c r="Q6" t="str">
        <f>O6&amp;D3&amp;P6</f>
        <v xml:space="preserve"> "codCampanha":"ORDENACAOCTRL",</v>
      </c>
    </row>
    <row r="7" spans="2:18" x14ac:dyDescent="0.25">
      <c r="B7" t="s">
        <v>865</v>
      </c>
      <c r="C7" t="s">
        <v>165</v>
      </c>
      <c r="D7" t="s">
        <v>866</v>
      </c>
      <c r="E7" t="s">
        <v>867</v>
      </c>
      <c r="F7" t="s">
        <v>194</v>
      </c>
      <c r="G7" t="s">
        <v>856</v>
      </c>
      <c r="H7" t="s">
        <v>858</v>
      </c>
      <c r="I7" t="s">
        <v>859</v>
      </c>
      <c r="J7" t="s">
        <v>860</v>
      </c>
      <c r="K7" t="s">
        <v>857</v>
      </c>
      <c r="L7" t="s">
        <v>861</v>
      </c>
      <c r="O7" t="s">
        <v>191</v>
      </c>
      <c r="P7" t="s">
        <v>161</v>
      </c>
      <c r="Q7" t="str">
        <f>O7&amp;F3&amp;P7</f>
        <v xml:space="preserve"> "segmento":"CONTROLE,CONTROLE_FACIL",</v>
      </c>
    </row>
    <row r="8" spans="2:18" x14ac:dyDescent="0.25">
      <c r="B8" s="19" t="s">
        <v>853</v>
      </c>
      <c r="C8" t="s">
        <v>165</v>
      </c>
      <c r="D8" t="s">
        <v>854</v>
      </c>
      <c r="E8" t="s">
        <v>855</v>
      </c>
      <c r="F8" t="s">
        <v>193</v>
      </c>
      <c r="G8" t="s">
        <v>856</v>
      </c>
      <c r="H8" t="s">
        <v>858</v>
      </c>
      <c r="I8" t="s">
        <v>857</v>
      </c>
      <c r="J8" t="s">
        <v>859</v>
      </c>
      <c r="K8" t="s">
        <v>860</v>
      </c>
      <c r="L8" t="s">
        <v>861</v>
      </c>
      <c r="O8" t="s">
        <v>195</v>
      </c>
      <c r="P8" t="s">
        <v>161</v>
      </c>
      <c r="Q8" t="str">
        <f>O8&amp;E3&amp;P8</f>
        <v xml:space="preserve"> "nome": "Ordenação Sessões Controle",</v>
      </c>
    </row>
    <row r="9" spans="2:18" x14ac:dyDescent="0.25">
      <c r="O9" t="s">
        <v>199</v>
      </c>
      <c r="P9" t="s">
        <v>161</v>
      </c>
      <c r="Q9" t="str">
        <f>O9&amp;B21&amp;P9</f>
        <v xml:space="preserve"> "tipo": "ordenation",</v>
      </c>
    </row>
    <row r="10" spans="2:18" x14ac:dyDescent="0.25">
      <c r="O10" t="s">
        <v>170</v>
      </c>
      <c r="Q10" t="str">
        <f>O10&amp;O11&amp;G3&amp;P11&amp;O12&amp;H3&amp;P12&amp;O13&amp;I3&amp;P13&amp;O14&amp;J3&amp;P14&amp;O15&amp;K3&amp;P15&amp;O16&amp;L3&amp;P16&amp;O17</f>
        <v xml:space="preserve"> "defaultMetaData": "{  \"POSICAO_1\": \"exclusivas\", \"POSICAO_2\": \"banners\", \"POSICAO_3\": \"planos\", \"POSICAO_4\": \"aparelhos\", \"POSICAO_5\": \"acessorios\", \"POSICAO_6\": \"demais_ofertas\"}"</v>
      </c>
    </row>
    <row r="11" spans="2:18" x14ac:dyDescent="0.25">
      <c r="O11" t="s">
        <v>868</v>
      </c>
      <c r="P11" t="s">
        <v>163</v>
      </c>
      <c r="Q11" t="str">
        <f>O18</f>
        <v>},</v>
      </c>
    </row>
    <row r="12" spans="2:18" x14ac:dyDescent="0.25">
      <c r="B12" t="s">
        <v>869</v>
      </c>
      <c r="O12" t="s">
        <v>870</v>
      </c>
      <c r="P12" t="s">
        <v>163</v>
      </c>
    </row>
    <row r="13" spans="2:18" x14ac:dyDescent="0.25">
      <c r="B13" t="s">
        <v>856</v>
      </c>
      <c r="O13" t="s">
        <v>871</v>
      </c>
      <c r="P13" t="s">
        <v>163</v>
      </c>
    </row>
    <row r="14" spans="2:18" x14ac:dyDescent="0.25">
      <c r="B14" t="s">
        <v>858</v>
      </c>
      <c r="O14" t="s">
        <v>872</v>
      </c>
      <c r="P14" t="s">
        <v>163</v>
      </c>
    </row>
    <row r="15" spans="2:18" x14ac:dyDescent="0.25">
      <c r="B15" t="s">
        <v>859</v>
      </c>
      <c r="O15" t="s">
        <v>873</v>
      </c>
      <c r="P15" t="s">
        <v>163</v>
      </c>
    </row>
    <row r="16" spans="2:18" x14ac:dyDescent="0.25">
      <c r="B16" t="s">
        <v>857</v>
      </c>
      <c r="O16" t="s">
        <v>874</v>
      </c>
      <c r="P16" t="s">
        <v>183</v>
      </c>
    </row>
    <row r="17" spans="2:15" x14ac:dyDescent="0.25">
      <c r="B17" t="s">
        <v>161</v>
      </c>
      <c r="O17" t="s">
        <v>402</v>
      </c>
    </row>
    <row r="18" spans="2:15" x14ac:dyDescent="0.25">
      <c r="B18" t="s">
        <v>166</v>
      </c>
      <c r="O18" t="s">
        <v>202</v>
      </c>
    </row>
    <row r="19" spans="2:15" x14ac:dyDescent="0.25">
      <c r="B19" t="s">
        <v>163</v>
      </c>
    </row>
    <row r="20" spans="2:15" x14ac:dyDescent="0.25">
      <c r="B20" t="s">
        <v>183</v>
      </c>
    </row>
    <row r="21" spans="2:15" x14ac:dyDescent="0.25">
      <c r="B21" t="s">
        <v>875</v>
      </c>
    </row>
    <row r="22" spans="2:15" x14ac:dyDescent="0.25">
      <c r="B22" t="s">
        <v>860</v>
      </c>
    </row>
  </sheetData>
  <mergeCells count="3">
    <mergeCell ref="O2:P2"/>
    <mergeCell ref="O1:R1"/>
    <mergeCell ref="Q2:R2"/>
  </mergeCells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B0BB56-55C6-4FF6-9FB7-8B685086D322}">
  <sheetPr codeName="Planilha17"/>
  <dimension ref="B1:N39"/>
  <sheetViews>
    <sheetView topLeftCell="A4" workbookViewId="0">
      <selection activeCell="B14" sqref="B14:B39"/>
    </sheetView>
  </sheetViews>
  <sheetFormatPr defaultRowHeight="15" x14ac:dyDescent="0.25"/>
  <cols>
    <col min="2" max="2" width="35.85546875" customWidth="1"/>
    <col min="3" max="3" width="14.85546875" customWidth="1"/>
    <col min="4" max="4" width="23" customWidth="1"/>
    <col min="5" max="5" width="26.7109375" customWidth="1"/>
    <col min="6" max="14" width="25.85546875" customWidth="1"/>
  </cols>
  <sheetData>
    <row r="1" spans="2:14" x14ac:dyDescent="0.25">
      <c r="F1" s="77" t="s">
        <v>216</v>
      </c>
      <c r="G1" s="77"/>
      <c r="H1" s="77"/>
      <c r="I1" s="77"/>
      <c r="J1" s="76" t="s">
        <v>624</v>
      </c>
      <c r="K1" s="76"/>
      <c r="L1" s="76"/>
      <c r="M1" s="76"/>
      <c r="N1" s="76"/>
    </row>
    <row r="2" spans="2:14" x14ac:dyDescent="0.25">
      <c r="B2" s="17" t="s">
        <v>217</v>
      </c>
      <c r="C2" s="17" t="s">
        <v>218</v>
      </c>
      <c r="D2" s="17" t="s">
        <v>220</v>
      </c>
      <c r="E2" s="17" t="s">
        <v>228</v>
      </c>
      <c r="F2" s="17" t="s">
        <v>876</v>
      </c>
      <c r="G2" s="17" t="s">
        <v>877</v>
      </c>
      <c r="H2" s="17" t="s">
        <v>878</v>
      </c>
      <c r="I2" s="17" t="s">
        <v>879</v>
      </c>
      <c r="J2" s="17" t="s">
        <v>876</v>
      </c>
      <c r="K2" s="17" t="s">
        <v>877</v>
      </c>
      <c r="L2" s="17" t="s">
        <v>880</v>
      </c>
      <c r="M2" s="17" t="s">
        <v>878</v>
      </c>
      <c r="N2" s="17" t="s">
        <v>879</v>
      </c>
    </row>
    <row r="3" spans="2:14" x14ac:dyDescent="0.25">
      <c r="B3" t="s">
        <v>896</v>
      </c>
      <c r="C3" t="s">
        <v>165</v>
      </c>
      <c r="D3" t="s">
        <v>897</v>
      </c>
      <c r="E3" t="s">
        <v>194</v>
      </c>
      <c r="F3" t="s">
        <v>883</v>
      </c>
      <c r="G3" s="5" t="s">
        <v>884</v>
      </c>
      <c r="H3" s="5" t="s">
        <v>885</v>
      </c>
      <c r="I3" s="5" t="s">
        <v>886</v>
      </c>
      <c r="J3" t="s">
        <v>1216</v>
      </c>
      <c r="K3" t="s">
        <v>898</v>
      </c>
      <c r="L3" t="s">
        <v>899</v>
      </c>
      <c r="M3" s="1" t="s">
        <v>889</v>
      </c>
      <c r="N3" s="1" t="s">
        <v>890</v>
      </c>
    </row>
    <row r="5" spans="2:14" x14ac:dyDescent="0.25">
      <c r="F5" s="77" t="s">
        <v>216</v>
      </c>
      <c r="G5" s="77"/>
      <c r="H5" s="77"/>
      <c r="I5" s="77"/>
      <c r="J5" s="76" t="s">
        <v>624</v>
      </c>
      <c r="K5" s="76"/>
      <c r="L5" s="76"/>
      <c r="M5" s="76"/>
      <c r="N5" s="76"/>
    </row>
    <row r="6" spans="2:14" x14ac:dyDescent="0.25">
      <c r="B6" s="17" t="s">
        <v>217</v>
      </c>
      <c r="C6" s="17" t="s">
        <v>218</v>
      </c>
      <c r="D6" s="17" t="s">
        <v>220</v>
      </c>
      <c r="E6" s="17" t="s">
        <v>228</v>
      </c>
      <c r="F6" s="17" t="s">
        <v>876</v>
      </c>
      <c r="G6" s="17" t="s">
        <v>877</v>
      </c>
      <c r="H6" s="17" t="s">
        <v>878</v>
      </c>
      <c r="I6" s="17" t="s">
        <v>879</v>
      </c>
      <c r="J6" s="17" t="s">
        <v>876</v>
      </c>
      <c r="K6" s="17" t="s">
        <v>877</v>
      </c>
      <c r="L6" s="17" t="s">
        <v>880</v>
      </c>
      <c r="M6" s="17" t="s">
        <v>878</v>
      </c>
      <c r="N6" s="17" t="s">
        <v>879</v>
      </c>
    </row>
    <row r="7" spans="2:14" x14ac:dyDescent="0.25">
      <c r="B7" t="s">
        <v>891</v>
      </c>
      <c r="C7" t="s">
        <v>165</v>
      </c>
      <c r="D7" t="s">
        <v>892</v>
      </c>
      <c r="E7" t="s">
        <v>192</v>
      </c>
      <c r="F7" t="s">
        <v>883</v>
      </c>
      <c r="G7" s="5" t="s">
        <v>884</v>
      </c>
      <c r="H7" s="5" t="s">
        <v>885</v>
      </c>
      <c r="I7" s="5" t="s">
        <v>886</v>
      </c>
      <c r="J7" t="s">
        <v>893</v>
      </c>
      <c r="K7" t="s">
        <v>894</v>
      </c>
      <c r="L7" t="s">
        <v>895</v>
      </c>
      <c r="M7" s="1" t="s">
        <v>889</v>
      </c>
      <c r="N7" s="1" t="s">
        <v>890</v>
      </c>
    </row>
    <row r="8" spans="2:14" x14ac:dyDescent="0.25">
      <c r="B8" t="s">
        <v>881</v>
      </c>
      <c r="C8" t="s">
        <v>165</v>
      </c>
      <c r="D8" t="s">
        <v>882</v>
      </c>
      <c r="E8" t="s">
        <v>193</v>
      </c>
      <c r="F8" t="s">
        <v>883</v>
      </c>
      <c r="G8" s="5" t="s">
        <v>884</v>
      </c>
      <c r="H8" s="5" t="s">
        <v>885</v>
      </c>
      <c r="I8" s="5" t="s">
        <v>886</v>
      </c>
      <c r="J8" t="s">
        <v>1215</v>
      </c>
      <c r="K8" t="s">
        <v>887</v>
      </c>
      <c r="L8" t="s">
        <v>888</v>
      </c>
      <c r="M8" s="1" t="s">
        <v>889</v>
      </c>
      <c r="N8" s="1" t="s">
        <v>890</v>
      </c>
    </row>
    <row r="9" spans="2:14" x14ac:dyDescent="0.25">
      <c r="B9" t="s">
        <v>896</v>
      </c>
      <c r="C9" t="s">
        <v>165</v>
      </c>
      <c r="D9" t="s">
        <v>897</v>
      </c>
      <c r="E9" t="s">
        <v>194</v>
      </c>
      <c r="F9" t="s">
        <v>883</v>
      </c>
      <c r="G9" s="5" t="s">
        <v>884</v>
      </c>
      <c r="H9" s="5" t="s">
        <v>885</v>
      </c>
      <c r="I9" s="5" t="s">
        <v>886</v>
      </c>
      <c r="J9" t="s">
        <v>1216</v>
      </c>
      <c r="K9" t="s">
        <v>898</v>
      </c>
      <c r="L9" t="s">
        <v>899</v>
      </c>
      <c r="M9" s="1" t="s">
        <v>889</v>
      </c>
      <c r="N9" s="1" t="s">
        <v>890</v>
      </c>
    </row>
    <row r="10" spans="2:14" x14ac:dyDescent="0.25">
      <c r="B10" s="78" t="s">
        <v>81</v>
      </c>
      <c r="C10" s="78"/>
      <c r="D10" s="78"/>
      <c r="E10" s="78"/>
      <c r="F10" s="78"/>
      <c r="G10" s="78"/>
      <c r="H10" s="78"/>
      <c r="I10" s="78"/>
      <c r="J10" s="78"/>
      <c r="K10" s="78"/>
      <c r="L10" s="78"/>
      <c r="M10" s="78"/>
      <c r="N10" s="78"/>
    </row>
    <row r="11" spans="2:14" x14ac:dyDescent="0.25">
      <c r="B11" t="s">
        <v>900</v>
      </c>
      <c r="C11" t="s">
        <v>165</v>
      </c>
      <c r="D11" t="s">
        <v>901</v>
      </c>
      <c r="E11" t="s">
        <v>192</v>
      </c>
      <c r="F11" t="s">
        <v>883</v>
      </c>
      <c r="G11" s="5" t="s">
        <v>884</v>
      </c>
      <c r="H11" s="5" t="s">
        <v>885</v>
      </c>
      <c r="I11" s="5" t="s">
        <v>886</v>
      </c>
      <c r="J11" t="s">
        <v>902</v>
      </c>
      <c r="K11" t="s">
        <v>894</v>
      </c>
      <c r="L11" t="s">
        <v>895</v>
      </c>
      <c r="M11" s="1" t="s">
        <v>889</v>
      </c>
      <c r="N11" s="1" t="s">
        <v>890</v>
      </c>
    </row>
    <row r="12" spans="2:14" x14ac:dyDescent="0.25">
      <c r="G12" s="5"/>
      <c r="H12" s="5"/>
      <c r="I12" s="5"/>
      <c r="M12" s="1"/>
      <c r="N12" s="1"/>
    </row>
    <row r="14" spans="2:14" x14ac:dyDescent="0.25">
      <c r="B14" t="s">
        <v>158</v>
      </c>
    </row>
    <row r="15" spans="2:14" x14ac:dyDescent="0.25">
      <c r="B15" t="s">
        <v>903</v>
      </c>
    </row>
    <row r="16" spans="2:14" x14ac:dyDescent="0.25">
      <c r="B16" t="s">
        <v>904</v>
      </c>
    </row>
    <row r="17" spans="2:12" x14ac:dyDescent="0.25">
      <c r="B17" t="s">
        <v>905</v>
      </c>
    </row>
    <row r="18" spans="2:12" x14ac:dyDescent="0.25">
      <c r="B18" t="s">
        <v>906</v>
      </c>
      <c r="E18" s="27" t="s">
        <v>907</v>
      </c>
      <c r="G18" s="27" t="s">
        <v>908</v>
      </c>
      <c r="I18" s="27" t="s">
        <v>909</v>
      </c>
      <c r="K18" s="27" t="s">
        <v>910</v>
      </c>
    </row>
    <row r="19" spans="2:12" x14ac:dyDescent="0.25">
      <c r="B19" t="s">
        <v>911</v>
      </c>
      <c r="E19" t="s">
        <v>783</v>
      </c>
      <c r="G19" t="s">
        <v>912</v>
      </c>
      <c r="H19" t="s">
        <v>161</v>
      </c>
      <c r="I19" s="28" t="s">
        <v>195</v>
      </c>
      <c r="J19" t="s">
        <v>201</v>
      </c>
      <c r="K19" t="s">
        <v>913</v>
      </c>
    </row>
    <row r="20" spans="2:12" x14ac:dyDescent="0.25">
      <c r="B20" t="s">
        <v>914</v>
      </c>
      <c r="E20" t="s">
        <v>186</v>
      </c>
      <c r="F20" t="s">
        <v>163</v>
      </c>
      <c r="K20" t="s">
        <v>186</v>
      </c>
      <c r="L20" t="s">
        <v>163</v>
      </c>
    </row>
    <row r="21" spans="2:12" x14ac:dyDescent="0.25">
      <c r="B21" t="s">
        <v>1149</v>
      </c>
      <c r="E21" t="s">
        <v>915</v>
      </c>
      <c r="F21" t="s">
        <v>163</v>
      </c>
      <c r="G21" s="27" t="s">
        <v>217</v>
      </c>
      <c r="K21" t="s">
        <v>188</v>
      </c>
      <c r="L21" t="s">
        <v>163</v>
      </c>
    </row>
    <row r="22" spans="2:12" x14ac:dyDescent="0.25">
      <c r="B22" t="s">
        <v>916</v>
      </c>
      <c r="E22" t="s">
        <v>917</v>
      </c>
      <c r="F22" t="s">
        <v>163</v>
      </c>
      <c r="G22" t="s">
        <v>160</v>
      </c>
      <c r="H22" t="s">
        <v>161</v>
      </c>
      <c r="K22" t="s">
        <v>918</v>
      </c>
      <c r="L22" t="s">
        <v>163</v>
      </c>
    </row>
    <row r="23" spans="2:12" x14ac:dyDescent="0.25">
      <c r="B23" t="s">
        <v>919</v>
      </c>
      <c r="E23" t="s">
        <v>920</v>
      </c>
      <c r="F23" t="s">
        <v>163</v>
      </c>
      <c r="K23" t="s">
        <v>921</v>
      </c>
      <c r="L23" t="s">
        <v>163</v>
      </c>
    </row>
    <row r="24" spans="2:12" x14ac:dyDescent="0.25">
      <c r="B24" t="s">
        <v>922</v>
      </c>
      <c r="E24" t="s">
        <v>923</v>
      </c>
      <c r="F24" t="s">
        <v>163</v>
      </c>
      <c r="G24" s="27" t="s">
        <v>924</v>
      </c>
      <c r="K24" t="s">
        <v>187</v>
      </c>
      <c r="L24" t="s">
        <v>183</v>
      </c>
    </row>
    <row r="25" spans="2:12" x14ac:dyDescent="0.25">
      <c r="B25" t="s">
        <v>925</v>
      </c>
      <c r="E25" t="s">
        <v>926</v>
      </c>
      <c r="F25" t="s">
        <v>183</v>
      </c>
      <c r="G25" t="s">
        <v>164</v>
      </c>
      <c r="H25" t="s">
        <v>166</v>
      </c>
      <c r="K25" t="s">
        <v>184</v>
      </c>
    </row>
    <row r="26" spans="2:12" x14ac:dyDescent="0.25">
      <c r="B26" t="s">
        <v>927</v>
      </c>
      <c r="E26" t="s">
        <v>184</v>
      </c>
    </row>
    <row r="27" spans="2:12" x14ac:dyDescent="0.25">
      <c r="B27" t="s">
        <v>928</v>
      </c>
    </row>
    <row r="28" spans="2:12" x14ac:dyDescent="0.25">
      <c r="B28" t="s">
        <v>929</v>
      </c>
    </row>
    <row r="29" spans="2:12" x14ac:dyDescent="0.25">
      <c r="B29" t="s">
        <v>930</v>
      </c>
    </row>
    <row r="30" spans="2:12" x14ac:dyDescent="0.25">
      <c r="B30" t="s">
        <v>931</v>
      </c>
    </row>
    <row r="31" spans="2:12" x14ac:dyDescent="0.25">
      <c r="B31" t="s">
        <v>932</v>
      </c>
      <c r="E31" t="s">
        <v>933</v>
      </c>
    </row>
    <row r="32" spans="2:12" x14ac:dyDescent="0.25">
      <c r="B32" t="s">
        <v>934</v>
      </c>
    </row>
    <row r="33" spans="2:2" x14ac:dyDescent="0.25">
      <c r="B33" t="str">
        <f>K19&amp;K20&amp;L20&amp;K21&amp;F3&amp;L21&amp;K22&amp;I3&amp;L22&amp;K23&amp;H3&amp;L23&amp;K24&amp;G3&amp;L24&amp;K25</f>
        <v>"defaultUrlRedirect": "{ \"default\": \"\", \"MCAP\": \"minhaclaro://SalesDeck\", \"APPRES\": \"https://minhaclaroresidencial.claro.com.br/mude-seu-plano/monte-sua-combinacao?auth=token&amp;origin=minhanetapp&amp;affiliateId=rkRzV3Alc&amp;utm_source=app-mcr&amp;utm_medium=home&amp;utm_campaign=mude-seu-plano\", \"SITERES\": \"https://minhaclaroresidencial.claro.com.br/mude-seu-plano/monte-sua-combinacao?origin=minhanetweb&amp;affiliateId=B1KKRliVY\", \"MCLA\": \"https://minhaclaro.claro.com.br/mcpf/index.html#.html/loja\"}",</v>
      </c>
    </row>
    <row r="34" spans="2:2" x14ac:dyDescent="0.25">
      <c r="B34" t="str">
        <f>G19&amp;E3&amp;H19</f>
        <v>"segmento":"POS_PAGO",</v>
      </c>
    </row>
    <row r="35" spans="2:2" x14ac:dyDescent="0.25">
      <c r="B35" t="str">
        <f>E19&amp;E20&amp;F20&amp;E21&amp;J3&amp;F21&amp;E22&amp;N3&amp;F22&amp;E23&amp;M3&amp;F23&amp;E24&amp;K3&amp;F24&amp;E25&amp;L3&amp;F25&amp;E26</f>
        <v>"pathImagemS3": "{ \"default\": \"\", \"MCAP\": \"sales_deck/MCAP_POS.jpg\", \"APPRES\": \"sales_deck/APPRES.png\", \"SITERES\": \"sales_deck/SITERES.png\", \"MCLA\": \"sales_deck/MCLA_POS.png\", \"MCLA_mobile\": \"sales_deck/MCLA_mobile_POS.png\"}",</v>
      </c>
    </row>
    <row r="36" spans="2:2" x14ac:dyDescent="0.25">
      <c r="B36" t="str">
        <f>G22&amp;B3&amp;H22</f>
        <v xml:space="preserve"> "idcampanha":"069181c8-8306-4799-9fe9-6df076f71844",</v>
      </c>
    </row>
    <row r="37" spans="2:2" x14ac:dyDescent="0.25">
      <c r="B37" t="str">
        <f>G25&amp;C3&amp;H25</f>
        <v xml:space="preserve"> "ativo":true,</v>
      </c>
    </row>
    <row r="38" spans="2:2" x14ac:dyDescent="0.25">
      <c r="B38" t="str">
        <f>I19&amp;D3&amp;J19</f>
        <v xml:space="preserve"> "nome": "SPLASH_POS"</v>
      </c>
    </row>
    <row r="39" spans="2:2" x14ac:dyDescent="0.25">
      <c r="B39" t="s">
        <v>202</v>
      </c>
    </row>
  </sheetData>
  <mergeCells count="5">
    <mergeCell ref="F1:I1"/>
    <mergeCell ref="J1:N1"/>
    <mergeCell ref="F5:I5"/>
    <mergeCell ref="J5:N5"/>
    <mergeCell ref="B10:N10"/>
  </mergeCells>
  <hyperlinks>
    <hyperlink ref="G7" r:id="rId1" location=".html/loja" xr:uid="{F449ED4D-52AA-49E6-96FF-9D906AB845CF}"/>
    <hyperlink ref="G11" r:id="rId2" location=".html/loja" xr:uid="{CBDD3D25-F093-44A9-B7C5-F8E0F3649B60}"/>
    <hyperlink ref="H11" r:id="rId3" xr:uid="{1D6D6A74-5F75-4DD5-BC71-0445971E358B}"/>
    <hyperlink ref="I11" r:id="rId4" xr:uid="{9D6190A3-27B9-4F9B-B6AB-30CF69370C95}"/>
    <hyperlink ref="I7" r:id="rId5" xr:uid="{D17898D2-39C5-4D57-920C-9D0E2DD5E91F}"/>
    <hyperlink ref="H7" r:id="rId6" xr:uid="{5DE71423-1381-4707-8EBE-5AE24EC13402}"/>
  </hyperlinks>
  <pageMargins left="0.511811024" right="0.511811024" top="0.78740157499999996" bottom="0.78740157499999996" header="0.31496062000000002" footer="0.31496062000000002"/>
  <pageSetup paperSize="9" orientation="portrait" horizontalDpi="300" verticalDpi="300" r:id="rId7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204F9-D6E1-4247-B559-6672271BF50C}">
  <sheetPr codeName="Planilha23">
    <tabColor theme="4" tint="0.39997558519241921"/>
  </sheetPr>
  <dimension ref="B2:W131"/>
  <sheetViews>
    <sheetView topLeftCell="S1" zoomScaleNormal="100" workbookViewId="0">
      <selection activeCell="W14" sqref="W14"/>
    </sheetView>
  </sheetViews>
  <sheetFormatPr defaultRowHeight="15" x14ac:dyDescent="0.25"/>
  <cols>
    <col min="4" max="4" width="37" bestFit="1" customWidth="1"/>
    <col min="6" max="6" width="17.5703125" bestFit="1" customWidth="1"/>
    <col min="8" max="8" width="134.140625" bestFit="1" customWidth="1"/>
    <col min="9" max="9" width="19" bestFit="1" customWidth="1"/>
    <col min="10" max="18" width="45" customWidth="1"/>
    <col min="19" max="19" width="8.85546875" customWidth="1"/>
    <col min="20" max="20" width="12" customWidth="1"/>
    <col min="21" max="22" width="17" customWidth="1"/>
    <col min="23" max="23" width="53.85546875" customWidth="1"/>
  </cols>
  <sheetData>
    <row r="2" spans="2:23" x14ac:dyDescent="0.25">
      <c r="C2" s="17" t="s">
        <v>556</v>
      </c>
      <c r="D2" s="17" t="s">
        <v>217</v>
      </c>
      <c r="E2" s="17" t="s">
        <v>218</v>
      </c>
      <c r="F2" s="17" t="s">
        <v>961</v>
      </c>
      <c r="G2" s="17" t="s">
        <v>909</v>
      </c>
      <c r="H2" s="17" t="s">
        <v>962</v>
      </c>
      <c r="I2" s="17" t="s">
        <v>963</v>
      </c>
      <c r="J2" s="17" t="s">
        <v>964</v>
      </c>
      <c r="K2" s="17" t="s">
        <v>965</v>
      </c>
      <c r="L2" s="17" t="s">
        <v>966</v>
      </c>
      <c r="M2" s="17" t="s">
        <v>967</v>
      </c>
      <c r="N2" s="17" t="s">
        <v>968</v>
      </c>
      <c r="O2" s="17" t="s">
        <v>969</v>
      </c>
      <c r="P2" s="17" t="s">
        <v>970</v>
      </c>
      <c r="Q2" s="17" t="s">
        <v>1020</v>
      </c>
      <c r="R2" s="17" t="s">
        <v>1021</v>
      </c>
      <c r="S2" s="17" t="s">
        <v>971</v>
      </c>
      <c r="T2" s="17" t="s">
        <v>972</v>
      </c>
      <c r="U2" s="17" t="s">
        <v>1000</v>
      </c>
      <c r="V2" s="17" t="s">
        <v>7</v>
      </c>
      <c r="W2" s="17" t="s">
        <v>216</v>
      </c>
    </row>
    <row r="3" spans="2:23" x14ac:dyDescent="0.25">
      <c r="B3">
        <v>7</v>
      </c>
      <c r="C3">
        <v>1</v>
      </c>
      <c r="D3" t="s">
        <v>973</v>
      </c>
      <c r="E3" t="s">
        <v>165</v>
      </c>
      <c r="F3" t="s">
        <v>974</v>
      </c>
      <c r="G3" t="s">
        <v>975</v>
      </c>
      <c r="H3" t="s">
        <v>976</v>
      </c>
      <c r="I3" t="s">
        <v>977</v>
      </c>
      <c r="J3" t="s">
        <v>1023</v>
      </c>
      <c r="K3" t="s">
        <v>978</v>
      </c>
      <c r="L3" t="s">
        <v>1024</v>
      </c>
      <c r="M3" t="s">
        <v>979</v>
      </c>
      <c r="N3" t="s">
        <v>1025</v>
      </c>
      <c r="S3" s="11" t="s">
        <v>1030</v>
      </c>
      <c r="T3" t="s">
        <v>980</v>
      </c>
      <c r="U3" t="s">
        <v>536</v>
      </c>
      <c r="V3" t="s">
        <v>1031</v>
      </c>
      <c r="W3" t="s">
        <v>981</v>
      </c>
    </row>
    <row r="4" spans="2:23" x14ac:dyDescent="0.25">
      <c r="S4" s="11"/>
    </row>
    <row r="6" spans="2:23" x14ac:dyDescent="0.25">
      <c r="B6" s="20" t="s">
        <v>248</v>
      </c>
      <c r="C6" s="17" t="s">
        <v>556</v>
      </c>
      <c r="D6" s="17" t="s">
        <v>217</v>
      </c>
      <c r="E6" s="17" t="s">
        <v>218</v>
      </c>
      <c r="F6" s="17" t="s">
        <v>961</v>
      </c>
      <c r="G6" s="17" t="s">
        <v>909</v>
      </c>
      <c r="H6" s="17" t="s">
        <v>962</v>
      </c>
      <c r="I6" s="17" t="s">
        <v>963</v>
      </c>
      <c r="J6" s="17" t="s">
        <v>964</v>
      </c>
      <c r="K6" s="17" t="s">
        <v>965</v>
      </c>
      <c r="L6" s="17" t="s">
        <v>966</v>
      </c>
      <c r="M6" s="17" t="s">
        <v>967</v>
      </c>
      <c r="N6" s="17" t="s">
        <v>968</v>
      </c>
      <c r="O6" s="17" t="s">
        <v>969</v>
      </c>
      <c r="P6" s="17" t="s">
        <v>970</v>
      </c>
      <c r="Q6" s="17" t="s">
        <v>1020</v>
      </c>
      <c r="R6" s="17" t="s">
        <v>1021</v>
      </c>
      <c r="S6" s="17" t="s">
        <v>971</v>
      </c>
      <c r="T6" s="17" t="s">
        <v>972</v>
      </c>
      <c r="U6" s="17" t="s">
        <v>1000</v>
      </c>
      <c r="V6" s="17" t="s">
        <v>7</v>
      </c>
      <c r="W6" s="17" t="s">
        <v>216</v>
      </c>
    </row>
    <row r="7" spans="2:23" x14ac:dyDescent="0.25">
      <c r="B7" t="str">
        <f>IF(E7="true","ON-LINE","OFF-LINE")</f>
        <v>ON-LINE</v>
      </c>
      <c r="C7">
        <v>1</v>
      </c>
      <c r="D7" t="s">
        <v>973</v>
      </c>
      <c r="E7" t="s">
        <v>165</v>
      </c>
      <c r="F7" t="s">
        <v>974</v>
      </c>
      <c r="G7" t="s">
        <v>975</v>
      </c>
      <c r="H7" t="s">
        <v>976</v>
      </c>
      <c r="I7" t="s">
        <v>977</v>
      </c>
      <c r="J7" t="s">
        <v>1023</v>
      </c>
      <c r="K7" t="s">
        <v>978</v>
      </c>
      <c r="L7" t="s">
        <v>1024</v>
      </c>
      <c r="M7" t="s">
        <v>979</v>
      </c>
      <c r="N7" t="s">
        <v>1025</v>
      </c>
      <c r="S7" s="11" t="s">
        <v>1030</v>
      </c>
      <c r="T7" t="s">
        <v>980</v>
      </c>
      <c r="U7" t="s">
        <v>536</v>
      </c>
      <c r="V7" t="s">
        <v>1031</v>
      </c>
      <c r="W7" t="s">
        <v>981</v>
      </c>
    </row>
    <row r="8" spans="2:23" x14ac:dyDescent="0.25">
      <c r="B8" t="str">
        <f>IF(E8="true","ON-LINE","OFF-LINE")</f>
        <v>ON-LINE</v>
      </c>
      <c r="C8">
        <v>2</v>
      </c>
      <c r="D8" t="s">
        <v>982</v>
      </c>
      <c r="E8" t="s">
        <v>165</v>
      </c>
      <c r="F8" t="s">
        <v>983</v>
      </c>
      <c r="G8" t="s">
        <v>984</v>
      </c>
      <c r="H8" t="s">
        <v>985</v>
      </c>
      <c r="I8" t="s">
        <v>978</v>
      </c>
      <c r="J8" t="s">
        <v>1024</v>
      </c>
      <c r="K8" t="s">
        <v>833</v>
      </c>
      <c r="L8" t="s">
        <v>1026</v>
      </c>
      <c r="S8" s="11" t="s">
        <v>1032</v>
      </c>
      <c r="T8" t="s">
        <v>980</v>
      </c>
      <c r="U8" t="s">
        <v>536</v>
      </c>
      <c r="V8" t="s">
        <v>1033</v>
      </c>
      <c r="W8" t="s">
        <v>986</v>
      </c>
    </row>
    <row r="9" spans="2:23" x14ac:dyDescent="0.25">
      <c r="B9" t="str">
        <f>IF(E9="true","ON-LINE","OFF-LINE")</f>
        <v>ON-LINE</v>
      </c>
      <c r="C9">
        <v>3</v>
      </c>
      <c r="D9" t="s">
        <v>987</v>
      </c>
      <c r="E9" t="s">
        <v>165</v>
      </c>
      <c r="F9" t="s">
        <v>988</v>
      </c>
      <c r="G9" t="s">
        <v>989</v>
      </c>
      <c r="H9" t="s">
        <v>990</v>
      </c>
      <c r="I9" t="s">
        <v>978</v>
      </c>
      <c r="J9" t="s">
        <v>1027</v>
      </c>
      <c r="K9" t="s">
        <v>991</v>
      </c>
      <c r="L9" t="s">
        <v>992</v>
      </c>
      <c r="M9" t="s">
        <v>833</v>
      </c>
      <c r="N9" t="s">
        <v>1026</v>
      </c>
      <c r="O9" t="s">
        <v>993</v>
      </c>
      <c r="P9" t="s">
        <v>1028</v>
      </c>
      <c r="S9" s="11" t="s">
        <v>1034</v>
      </c>
      <c r="T9" t="s">
        <v>980</v>
      </c>
      <c r="U9" t="s">
        <v>536</v>
      </c>
      <c r="V9" t="s">
        <v>1035</v>
      </c>
      <c r="W9" t="s">
        <v>1010</v>
      </c>
    </row>
    <row r="10" spans="2:23" x14ac:dyDescent="0.25">
      <c r="B10" t="str">
        <f>IF(E10="true","ON-LINE","OFF-LINE")</f>
        <v>ON-LINE</v>
      </c>
      <c r="C10">
        <v>4</v>
      </c>
      <c r="D10" t="s">
        <v>994</v>
      </c>
      <c r="E10" t="s">
        <v>165</v>
      </c>
      <c r="F10" t="s">
        <v>995</v>
      </c>
      <c r="G10" t="s">
        <v>996</v>
      </c>
      <c r="H10" t="s">
        <v>997</v>
      </c>
      <c r="I10" t="s">
        <v>978</v>
      </c>
      <c r="J10" t="s">
        <v>1029</v>
      </c>
      <c r="K10" t="s">
        <v>998</v>
      </c>
      <c r="L10" t="s">
        <v>1028</v>
      </c>
      <c r="S10" s="11" t="s">
        <v>1036</v>
      </c>
      <c r="T10" t="s">
        <v>999</v>
      </c>
      <c r="U10" t="s">
        <v>535</v>
      </c>
      <c r="V10" t="s">
        <v>1037</v>
      </c>
      <c r="W10" s="5" t="s">
        <v>1001</v>
      </c>
    </row>
    <row r="100" spans="2:7" s="40" customFormat="1" x14ac:dyDescent="0.25"/>
    <row r="103" spans="2:7" x14ac:dyDescent="0.25">
      <c r="B103" t="s">
        <v>158</v>
      </c>
      <c r="G103" t="str">
        <f>B103</f>
        <v>{</v>
      </c>
    </row>
    <row r="104" spans="2:7" x14ac:dyDescent="0.25">
      <c r="B104" t="s">
        <v>160</v>
      </c>
      <c r="E104" t="s">
        <v>161</v>
      </c>
      <c r="G104" t="str">
        <f>B104&amp;D3&amp;E104</f>
        <v xml:space="preserve"> "idcampanha":"af3822a6-ce46-11ed-afa1-0242ac120002",</v>
      </c>
    </row>
    <row r="105" spans="2:7" x14ac:dyDescent="0.25">
      <c r="B105" t="s">
        <v>164</v>
      </c>
      <c r="E105" t="s">
        <v>166</v>
      </c>
      <c r="G105" t="str">
        <f>B105&amp;E3&amp;E105</f>
        <v xml:space="preserve"> "ativo":true,</v>
      </c>
    </row>
    <row r="106" spans="2:7" x14ac:dyDescent="0.25">
      <c r="B106" t="s">
        <v>168</v>
      </c>
      <c r="E106" t="s">
        <v>161</v>
      </c>
      <c r="G106" t="str">
        <f>B106&amp;F3&amp;E106</f>
        <v xml:space="preserve"> "codCampanha":"DOWNPLANOPOS",</v>
      </c>
    </row>
    <row r="107" spans="2:7" x14ac:dyDescent="0.25">
      <c r="B107" t="s">
        <v>195</v>
      </c>
      <c r="E107" t="s">
        <v>161</v>
      </c>
      <c r="G107" t="str">
        <f>B107&amp;G3&amp;E107</f>
        <v xml:space="preserve"> "nome": "Pós-pago",</v>
      </c>
    </row>
    <row r="108" spans="2:7" x14ac:dyDescent="0.25">
      <c r="B108" t="s">
        <v>189</v>
      </c>
      <c r="E108" t="s">
        <v>161</v>
      </c>
      <c r="G108" t="str">
        <f>B108&amp;H3&amp;E108</f>
        <v xml:space="preserve"> "descricao": "Planos com muita internet, acesso gratuito aos seus apps favoritos, bônus extra para apps de vídeo e muito mais.",</v>
      </c>
    </row>
    <row r="109" spans="2:7" x14ac:dyDescent="0.25">
      <c r="B109" t="s">
        <v>1022</v>
      </c>
      <c r="E109" t="s">
        <v>161</v>
      </c>
      <c r="G109" t="str">
        <f>B109&amp;C3&amp;E109</f>
        <v>"prioridade":"1",</v>
      </c>
    </row>
    <row r="110" spans="2:7" x14ac:dyDescent="0.25">
      <c r="B110" t="s">
        <v>185</v>
      </c>
      <c r="G110" t="str">
        <f>B114&amp;E114</f>
        <v xml:space="preserve"> "tipo": "other_plans_deck",</v>
      </c>
    </row>
    <row r="111" spans="2:7" x14ac:dyDescent="0.25">
      <c r="B111" t="s">
        <v>186</v>
      </c>
      <c r="E111" t="s">
        <v>183</v>
      </c>
      <c r="G111" t="str">
        <f>B110&amp;B111&amp;W3&amp;E111&amp;B112</f>
        <v xml:space="preserve"> "defaultUrlRedirect": "{ \"default\": \"https://planoscelular.claro.com.br/claro/pt/c/pospago\"}",</v>
      </c>
    </row>
    <row r="112" spans="2:7" x14ac:dyDescent="0.25">
      <c r="B112" t="s">
        <v>184</v>
      </c>
      <c r="G112" t="str">
        <f>B115&amp;B116&amp;V3&amp;E116&amp;B117&amp;S3&amp;E117&amp;B118&amp;T3&amp;E118&amp;B119&amp;U3&amp;E119&amp;B120&amp;I3&amp;E120&amp;B121&amp;J3&amp;E121&amp;B122&amp;K3&amp;E122&amp;B123&amp;L3&amp;E123&amp;B124&amp;M3&amp;E124&amp;B125&amp;N3&amp;E125&amp;B126&amp;O3&amp;E126&amp;B127&amp;P3&amp;E127&amp;B128&amp;Q3&amp;E128&amp;B129&amp;R3&amp;E129&amp;B130</f>
        <v xml:space="preserve"> "defaultMetaData": "{  \"TAG\": \"outros_planos:pos-pago\",  \"PRECO\": \"99,9\",  \"PERIODO\": \"mês*\",  \"OPENWARNING\": \"FALSE\",  \"ICON_BEN1\": \"ao-vivo\", \"TEXT_BEN1\": \"&lt;span class='bold'&gt;Extraplay&lt;/span&gt; para assistir conteúdos em vídeos nos seus apps favoritos\", \"ICON_BEN2\": \"quadrado-mais-play\", \"TEXT_BEN2\": \"Apps para navegar &lt;span class='bold'&gt;ilimitado&lt;/span&gt; sem descontar da sua franquia\", \"ICON_BEN3\": \"aviao\", \"TEXT_BEN3\": \"&lt;span class='bold'&gt;Passaporte das Américas&lt;/span&gt; para navegar e falar no exterior\", \"ICON_BEN4\": \"\", \"TEXT_BEN4\": \"\", \"ICON_BEN5\": \"\", \"TEXT_BEN5\": \"\"}"</v>
      </c>
    </row>
    <row r="113" spans="2:7" x14ac:dyDescent="0.25">
      <c r="G113" t="str">
        <f>B131</f>
        <v>},</v>
      </c>
    </row>
    <row r="114" spans="2:7" x14ac:dyDescent="0.25">
      <c r="B114" t="s">
        <v>1002</v>
      </c>
      <c r="E114" t="s">
        <v>161</v>
      </c>
    </row>
    <row r="115" spans="2:7" x14ac:dyDescent="0.25">
      <c r="B115" t="s">
        <v>170</v>
      </c>
    </row>
    <row r="116" spans="2:7" x14ac:dyDescent="0.25">
      <c r="B116" t="s">
        <v>1009</v>
      </c>
      <c r="E116" t="s">
        <v>163</v>
      </c>
    </row>
    <row r="117" spans="2:7" x14ac:dyDescent="0.25">
      <c r="B117" t="s">
        <v>1006</v>
      </c>
      <c r="E117" t="s">
        <v>163</v>
      </c>
    </row>
    <row r="118" spans="2:7" x14ac:dyDescent="0.25">
      <c r="B118" t="s">
        <v>1007</v>
      </c>
      <c r="E118" t="s">
        <v>163</v>
      </c>
    </row>
    <row r="119" spans="2:7" x14ac:dyDescent="0.25">
      <c r="B119" t="s">
        <v>1008</v>
      </c>
      <c r="E119" t="s">
        <v>163</v>
      </c>
    </row>
    <row r="120" spans="2:7" x14ac:dyDescent="0.25">
      <c r="B120" t="s">
        <v>816</v>
      </c>
      <c r="E120" t="s">
        <v>163</v>
      </c>
    </row>
    <row r="121" spans="2:7" x14ac:dyDescent="0.25">
      <c r="B121" t="s">
        <v>818</v>
      </c>
      <c r="E121" t="s">
        <v>163</v>
      </c>
    </row>
    <row r="122" spans="2:7" x14ac:dyDescent="0.25">
      <c r="B122" t="s">
        <v>1003</v>
      </c>
      <c r="E122" t="s">
        <v>163</v>
      </c>
    </row>
    <row r="123" spans="2:7" x14ac:dyDescent="0.25">
      <c r="B123" t="s">
        <v>823</v>
      </c>
      <c r="E123" t="s">
        <v>163</v>
      </c>
    </row>
    <row r="124" spans="2:7" x14ac:dyDescent="0.25">
      <c r="B124" t="s">
        <v>1004</v>
      </c>
      <c r="E124" t="s">
        <v>163</v>
      </c>
    </row>
    <row r="125" spans="2:7" x14ac:dyDescent="0.25">
      <c r="B125" t="s">
        <v>829</v>
      </c>
      <c r="E125" t="s">
        <v>163</v>
      </c>
    </row>
    <row r="126" spans="2:7" x14ac:dyDescent="0.25">
      <c r="B126" t="s">
        <v>1005</v>
      </c>
      <c r="E126" t="s">
        <v>163</v>
      </c>
    </row>
    <row r="127" spans="2:7" x14ac:dyDescent="0.25">
      <c r="B127" t="s">
        <v>835</v>
      </c>
      <c r="E127" t="s">
        <v>163</v>
      </c>
    </row>
    <row r="128" spans="2:7" x14ac:dyDescent="0.25">
      <c r="B128" t="s">
        <v>1018</v>
      </c>
      <c r="E128" t="s">
        <v>163</v>
      </c>
    </row>
    <row r="129" spans="2:5" x14ac:dyDescent="0.25">
      <c r="B129" t="s">
        <v>1019</v>
      </c>
      <c r="E129" t="s">
        <v>183</v>
      </c>
    </row>
    <row r="130" spans="2:5" x14ac:dyDescent="0.25">
      <c r="B130" t="s">
        <v>402</v>
      </c>
    </row>
    <row r="131" spans="2:5" x14ac:dyDescent="0.25">
      <c r="B131" t="s">
        <v>202</v>
      </c>
    </row>
  </sheetData>
  <hyperlinks>
    <hyperlink ref="W10" r:id="rId1" xr:uid="{F25C5088-D212-4AB7-941C-88A6A90CFEBE}"/>
    <hyperlink ref="W9" r:id="rId2" xr:uid="{2FF4EBD7-D67A-4572-9292-88CABD6D300B}"/>
  </hyperlinks>
  <pageMargins left="0.511811024" right="0.511811024" top="0.78740157499999996" bottom="0.78740157499999996" header="0.31496062000000002" footer="0.3149606200000000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09" r:id="rId5" name="Button 1">
              <controlPr defaultSize="0" print="0" autoFill="0" autoPict="0" macro="[0]!DOWNGRADE">
                <anchor moveWithCells="1" sizeWithCells="1">
                  <from>
                    <xdr:col>0</xdr:col>
                    <xdr:colOff>123825</xdr:colOff>
                    <xdr:row>0</xdr:row>
                    <xdr:rowOff>66675</xdr:rowOff>
                  </from>
                  <to>
                    <xdr:col>1</xdr:col>
                    <xdr:colOff>314325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F27613-2F18-40F6-B1AA-00264E0A9637}">
  <sheetPr codeName="Planilha18"/>
  <dimension ref="A2:B6"/>
  <sheetViews>
    <sheetView workbookViewId="0">
      <selection activeCell="B3" sqref="B3"/>
    </sheetView>
  </sheetViews>
  <sheetFormatPr defaultRowHeight="15" x14ac:dyDescent="0.25"/>
  <cols>
    <col min="1" max="1" width="30.42578125" customWidth="1"/>
  </cols>
  <sheetData>
    <row r="2" spans="1:2" x14ac:dyDescent="0.25">
      <c r="A2" t="s">
        <v>935</v>
      </c>
    </row>
    <row r="3" spans="1:2" x14ac:dyDescent="0.25">
      <c r="A3" t="s">
        <v>936</v>
      </c>
      <c r="B3" t="e" cm="1">
        <f t="array" aca="1" ref="B3" ca="1">fnRetirarAcentos(LOWER(A3))</f>
        <v>#NAME?</v>
      </c>
    </row>
    <row r="4" spans="1:2" x14ac:dyDescent="0.25">
      <c r="A4" t="s">
        <v>937</v>
      </c>
      <c r="B4" t="e" cm="1">
        <f t="array" aca="1" ref="B4" ca="1">fnRetirarAcentos(LOWER(A4))</f>
        <v>#NAME?</v>
      </c>
    </row>
    <row r="5" spans="1:2" x14ac:dyDescent="0.25">
      <c r="B5" t="e" cm="1">
        <f t="array" aca="1" ref="B5" ca="1">fnRetirarAcentos(LOWER(A5))</f>
        <v>#NAME?</v>
      </c>
    </row>
    <row r="6" spans="1:2" x14ac:dyDescent="0.25">
      <c r="B6" t="e" cm="1">
        <f t="array" aca="1" ref="B6" ca="1">fnRetirarAcentos(LOWER(A6))</f>
        <v>#NAME?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96019370-216c-4a5f-a19a-9cf91cc5f727" xsi:nil="true"/>
  </documentManagement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BD0516EBC362E46A0EE9DA822A9B772" ma:contentTypeVersion="12" ma:contentTypeDescription="Create a new document." ma:contentTypeScope="" ma:versionID="e051a9579d379fb311c28e4d07a17089">
  <xsd:schema xmlns:xsd="http://www.w3.org/2001/XMLSchema" xmlns:xs="http://www.w3.org/2001/XMLSchema" xmlns:p="http://schemas.microsoft.com/office/2006/metadata/properties" xmlns:ns3="96019370-216c-4a5f-a19a-9cf91cc5f727" xmlns:ns4="9d44b3e7-206e-4e6c-b89b-a7adb92a579c" targetNamespace="http://schemas.microsoft.com/office/2006/metadata/properties" ma:root="true" ma:fieldsID="ed5c0be708f56cee7f114d3d71276016" ns3:_="" ns4:_="">
    <xsd:import namespace="96019370-216c-4a5f-a19a-9cf91cc5f727"/>
    <xsd:import namespace="9d44b3e7-206e-4e6c-b89b-a7adb92a579c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019370-216c-4a5f-a19a-9cf91cc5f72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19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44b3e7-206e-4e6c-b89b-a7adb92a579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7186A24-B8D3-47AF-BC50-038BEA010FA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A306B3B-2872-4C8F-A687-75AF8BC612E2}">
  <ds:schemaRefs>
    <ds:schemaRef ds:uri="http://schemas.microsoft.com/office/infopath/2007/PartnerControls"/>
    <ds:schemaRef ds:uri="96019370-216c-4a5f-a19a-9cf91cc5f727"/>
    <ds:schemaRef ds:uri="http://schemas.microsoft.com/office/2006/metadata/properties"/>
    <ds:schemaRef ds:uri="http://schemas.microsoft.com/office/2006/documentManagement/types"/>
    <ds:schemaRef ds:uri="http://purl.org/dc/terms/"/>
    <ds:schemaRef ds:uri="http://purl.org/dc/dcmitype/"/>
    <ds:schemaRef ds:uri="http://purl.org/dc/elements/1.1/"/>
    <ds:schemaRef ds:uri="9d44b3e7-206e-4e6c-b89b-a7adb92a579c"/>
    <ds:schemaRef ds:uri="http://www.w3.org/XML/1998/namespace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B886332F-C10D-4712-A60C-E954DC9879A8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BF191A22-21ED-45F0-953A-240FE2110BB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019370-216c-4a5f-a19a-9cf91cc5f727"/>
    <ds:schemaRef ds:uri="9d44b3e7-206e-4e6c-b89b-a7adb92a579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Planilha1</vt:lpstr>
      <vt:lpstr>Imagens Produtos</vt:lpstr>
      <vt:lpstr>VITRINE APARELHOS</vt:lpstr>
      <vt:lpstr>VITRINE APARELHOS - Json</vt:lpstr>
      <vt:lpstr>NEW OFFER EXC</vt:lpstr>
      <vt:lpstr>JSON</vt:lpstr>
      <vt:lpstr>NEW OFFER EXC - Json</vt:lpstr>
      <vt:lpstr>OFERTAS EXCLUSIVAS</vt:lpstr>
      <vt:lpstr>OFERTAS EXCLUSIVAS - Json</vt:lpstr>
      <vt:lpstr>TABELA APARELHOS</vt:lpstr>
      <vt:lpstr>NOVA TABELA APARELHOS</vt:lpstr>
      <vt:lpstr>APARELHOS - Json</vt:lpstr>
      <vt:lpstr>NOVOS APARELHOS - Json</vt:lpstr>
      <vt:lpstr>ACESSORIOS</vt:lpstr>
      <vt:lpstr>ACESSORIOS - Json</vt:lpstr>
      <vt:lpstr>BANNER DECK</vt:lpstr>
      <vt:lpstr>BANNER DECK - Json</vt:lpstr>
      <vt:lpstr>DEMAIS OFERTAS</vt:lpstr>
      <vt:lpstr>BANNER HOME</vt:lpstr>
      <vt:lpstr>CLARO EMPRESAS</vt:lpstr>
      <vt:lpstr>MUDE SEU PLANO</vt:lpstr>
      <vt:lpstr>ORDENATION</vt:lpstr>
      <vt:lpstr>SPLASH</vt:lpstr>
      <vt:lpstr>DOWNGRADE</vt:lpstr>
      <vt:lpstr>Rascunhos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Mauro Filipe Burger</dc:creator>
  <cp:keywords/>
  <dc:description/>
  <cp:lastModifiedBy>Felipe Império Alves de Nazareth</cp:lastModifiedBy>
  <cp:revision/>
  <dcterms:created xsi:type="dcterms:W3CDTF">2022-12-06T21:17:32Z</dcterms:created>
  <dcterms:modified xsi:type="dcterms:W3CDTF">2023-05-09T05:07:57Z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0x0101004BD0516EBC362E46A0EE9DA822A9B772</vt:lpwstr>
  </property>
</Properties>
</file>